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Influencers" sheetId="1" r:id="rId5"/>
    <sheet state="visible" name="2025 Influencers" sheetId="2" r:id="rId6"/>
    <sheet state="visible" name="2025 Brand Collaborations" sheetId="3" r:id="rId7"/>
    <sheet state="visible" name="Good Influencers" sheetId="4" r:id="rId8"/>
    <sheet state="visible" name="ShipBob Import Settings" sheetId="5" r:id="rId9"/>
    <sheet state="visible" name="2024 Influencers" sheetId="6" r:id="rId10"/>
    <sheet state="visible" name="2024 Brand Collaborations" sheetId="7" r:id="rId11"/>
    <sheet state="visible" name="AusPost Bulk - Domestic" sheetId="8" r:id="rId12"/>
    <sheet state="visible" name="SAMPLE DCs" sheetId="9" r:id="rId13"/>
    <sheet state="visible" name="International" sheetId="10" r:id="rId14"/>
    <sheet state="visible" name="eParcel International" sheetId="11" r:id="rId15"/>
  </sheets>
  <definedNames/>
  <calcPr/>
</workbook>
</file>

<file path=xl/sharedStrings.xml><?xml version="1.0" encoding="utf-8"?>
<sst xmlns="http://schemas.openxmlformats.org/spreadsheetml/2006/main" count="5249" uniqueCount="2613">
  <si>
    <t>Contact Name</t>
  </si>
  <si>
    <t>IG Handle</t>
  </si>
  <si>
    <t>Posted Tagged</t>
  </si>
  <si>
    <t>Flavour Preference/Sent</t>
  </si>
  <si>
    <t>Delivery Address Line 1</t>
  </si>
  <si>
    <t>Deliver To Suburb</t>
  </si>
  <si>
    <t>Deliver To Postcode</t>
  </si>
  <si>
    <t>Deliver To State</t>
  </si>
  <si>
    <t>Country</t>
  </si>
  <si>
    <t>Email</t>
  </si>
  <si>
    <t>Notes</t>
  </si>
  <si>
    <t>Tracking Number</t>
  </si>
  <si>
    <t>AUS Shipments</t>
  </si>
  <si>
    <t>Carla Gargano</t>
  </si>
  <si>
    <t>nutrifybycarla</t>
  </si>
  <si>
    <t>Story</t>
  </si>
  <si>
    <t>Medium - 520g Cinnamon Churro</t>
  </si>
  <si>
    <t>2/1 Marong Grove</t>
  </si>
  <si>
    <t>Balwyn</t>
  </si>
  <si>
    <t>VIC</t>
  </si>
  <si>
    <t>AU</t>
  </si>
  <si>
    <t>ccarlagargano@gmail.com</t>
  </si>
  <si>
    <t>Previously sent her product Jan 2025</t>
  </si>
  <si>
    <t>Domino Puttick</t>
  </si>
  <si>
    <t>dom.thefitnessdietitian</t>
  </si>
  <si>
    <t>39 Anne Drive</t>
  </si>
  <si>
    <t>Dromana</t>
  </si>
  <si>
    <t>domino.puttick@icloud.com</t>
  </si>
  <si>
    <t>Chloe Louise</t>
  </si>
  <si>
    <t>chloelouise_nutritionist</t>
  </si>
  <si>
    <t>520g Gluten Free Cinnamon Churro</t>
  </si>
  <si>
    <t>502/25 First Avenue</t>
  </si>
  <si>
    <t>Mooloolaba</t>
  </si>
  <si>
    <t>QLD</t>
  </si>
  <si>
    <t>chloelouisenutritionist@gmail.com</t>
  </si>
  <si>
    <t>Ruby Cripps</t>
  </si>
  <si>
    <t>ruby_may.fitness</t>
  </si>
  <si>
    <t>Reel</t>
  </si>
  <si>
    <t>Medium - 500g Cookies &amp; Cream</t>
  </si>
  <si>
    <t>12 rosewood street</t>
  </si>
  <si>
    <t>Eglinton</t>
  </si>
  <si>
    <t>WA</t>
  </si>
  <si>
    <t>Rubycripps@live.co.uk</t>
  </si>
  <si>
    <t>UK accent, moved to Perth</t>
  </si>
  <si>
    <t>Stephanie Smith</t>
  </si>
  <si>
    <t>nurturebysteph</t>
  </si>
  <si>
    <t>Story &amp; Reel</t>
  </si>
  <si>
    <t>Medium - 500g Buttermilk</t>
  </si>
  <si>
    <t xml:space="preserve">9 Tramway Drive </t>
  </si>
  <si>
    <t>West Wallsend</t>
  </si>
  <si>
    <t>NSW</t>
  </si>
  <si>
    <t>nurturebysteph@gmail.com</t>
  </si>
  <si>
    <t>Jorja Mulroy</t>
  </si>
  <si>
    <t>nutritionbyjorja</t>
  </si>
  <si>
    <t>Medium - 500g Chocolate</t>
  </si>
  <si>
    <t>252 Wentworth Parade</t>
  </si>
  <si>
    <t>Success</t>
  </si>
  <si>
    <t>jorjalea21@hotmail.com</t>
  </si>
  <si>
    <t xml:space="preserve">Angelene Alexandrkais </t>
  </si>
  <si>
    <t>athleticcoachinghub</t>
  </si>
  <si>
    <t>2/16 Swallow Street</t>
  </si>
  <si>
    <t>Preston</t>
  </si>
  <si>
    <t>info@athleticcoachinghub.com.au</t>
  </si>
  <si>
    <t>Eden Gorrel</t>
  </si>
  <si>
    <t>activewith.eden</t>
  </si>
  <si>
    <t>Medium - 500g Salted Caramel</t>
  </si>
  <si>
    <t>4/10 Belgrave Street</t>
  </si>
  <si>
    <t>Petrie Terrace</t>
  </si>
  <si>
    <t>activewitheden@gmail.com</t>
  </si>
  <si>
    <t>Sending for a second time, and created her a discount code</t>
  </si>
  <si>
    <t>Amy Bonser</t>
  </si>
  <si>
    <t>amyb_anne</t>
  </si>
  <si>
    <t>19 Dover crescent</t>
  </si>
  <si>
    <t>Waratah West</t>
  </si>
  <si>
    <t>amybonsor@hotmail.com</t>
  </si>
  <si>
    <t>Miller Barwell</t>
  </si>
  <si>
    <t>lronmindsets</t>
  </si>
  <si>
    <t>4/33 Frith Street</t>
  </si>
  <si>
    <t>Kahibah</t>
  </si>
  <si>
    <t>Miller@barwell.com.au</t>
  </si>
  <si>
    <t>Bethany Grace</t>
  </si>
  <si>
    <t>bethanygrace91</t>
  </si>
  <si>
    <t>512, 24 Queen St</t>
  </si>
  <si>
    <t>Southport</t>
  </si>
  <si>
    <t>hello@bethany-grace.com</t>
  </si>
  <si>
    <t>UK accent - made a good reel</t>
  </si>
  <si>
    <t>Samantha Simoni</t>
  </si>
  <si>
    <t>kinda_healthy_sam</t>
  </si>
  <si>
    <t>Medium - 520g Cinnamon Churro + Medium - 500g Buttermilk</t>
  </si>
  <si>
    <t>50 Glenhope Road</t>
  </si>
  <si>
    <t>West pennant Hills</t>
  </si>
  <si>
    <t>Sam_camilleri@hotmail.com</t>
  </si>
  <si>
    <t>189k followers</t>
  </si>
  <si>
    <t>Joshua Wernham</t>
  </si>
  <si>
    <t>josh_does_health</t>
  </si>
  <si>
    <t>Medium - 500g Buttermilk + Medium - 500g Cookies &amp; Cream</t>
  </si>
  <si>
    <t>39 Myrtle Street</t>
  </si>
  <si>
    <t>Grange</t>
  </si>
  <si>
    <t>joshdoeshealth@gmail.com</t>
  </si>
  <si>
    <t>65k followers - has contract with elite supps, can't promote (maybe?) but can reccomend to clients</t>
  </si>
  <si>
    <t>Hannah Mills</t>
  </si>
  <si>
    <t>itshannahmills</t>
  </si>
  <si>
    <t>80 Pym St</t>
  </si>
  <si>
    <t xml:space="preserve">Dudley Park </t>
  </si>
  <si>
    <t>SA</t>
  </si>
  <si>
    <t>hannahmills206@gmail.com</t>
  </si>
  <si>
    <t xml:space="preserve">Reese Jacques </t>
  </si>
  <si>
    <t>reese_jacques</t>
  </si>
  <si>
    <t>4A Sunnybrae Ave</t>
  </si>
  <si>
    <t>Kilburn</t>
  </si>
  <si>
    <t>Sending to her for a fundraiser raffle</t>
  </si>
  <si>
    <t>Rachel Morgan</t>
  </si>
  <si>
    <t>rachelisemorgan</t>
  </si>
  <si>
    <t>4/82 Lewington Street</t>
  </si>
  <si>
    <t>Rockingham</t>
  </si>
  <si>
    <t>rachel.morgan0304@gmail.com</t>
  </si>
  <si>
    <t xml:space="preserve">Madison Hardgrave </t>
  </si>
  <si>
    <t>mjhealth_nutrition</t>
  </si>
  <si>
    <t>2/27 Ridge Road</t>
  </si>
  <si>
    <t>Maroochydore</t>
  </si>
  <si>
    <t>maddiehardgrave@gmail.com</t>
  </si>
  <si>
    <t>Elli Halliday</t>
  </si>
  <si>
    <t>ellirosedietitian</t>
  </si>
  <si>
    <t xml:space="preserve">2/1A Palkana Drive </t>
  </si>
  <si>
    <t>Warana</t>
  </si>
  <si>
    <t>ellihalliday@icloud.com</t>
  </si>
  <si>
    <t>Elle Heritage</t>
  </si>
  <si>
    <t>gluten_free4me</t>
  </si>
  <si>
    <t>5 Tanderra Crescent</t>
  </si>
  <si>
    <t>Ngunnawal</t>
  </si>
  <si>
    <t>ACT</t>
  </si>
  <si>
    <t>glutenfree4me.contact@gmail.com</t>
  </si>
  <si>
    <t xml:space="preserve">Rianna Nicotera </t>
  </si>
  <si>
    <t>_nourishednutrition_</t>
  </si>
  <si>
    <t>170 Sixth Ave</t>
  </si>
  <si>
    <t>Llandilo</t>
  </si>
  <si>
    <t>riannanicotera@gmail.com</t>
  </si>
  <si>
    <t>She's done content for us before (a while ago)</t>
  </si>
  <si>
    <t>Sending to him for winner of challenge</t>
  </si>
  <si>
    <t>Kaytee Askew</t>
  </si>
  <si>
    <t>hotmumwalkclub</t>
  </si>
  <si>
    <t>25x C&amp;C + 25x Maple Samples</t>
  </si>
  <si>
    <t>KayteeEvynn@hotmail.com</t>
  </si>
  <si>
    <t>Fia Hamilton</t>
  </si>
  <si>
    <t>fiafitness_</t>
  </si>
  <si>
    <t>Unit 514/11 Perkins Street</t>
  </si>
  <si>
    <t>Newcastle</t>
  </si>
  <si>
    <t>fiaahamilton@gmail.com</t>
  </si>
  <si>
    <t xml:space="preserve">Joey Banaria </t>
  </si>
  <si>
    <t>brayjoe828</t>
  </si>
  <si>
    <t>2x 520g BM &amp; CC</t>
  </si>
  <si>
    <t xml:space="preserve">19 hardy Avenue </t>
  </si>
  <si>
    <t>Riverwood</t>
  </si>
  <si>
    <t>Eva Hoey</t>
  </si>
  <si>
    <t>evahoeynutrition</t>
  </si>
  <si>
    <t>5 Bell Street</t>
  </si>
  <si>
    <t>Maroubra</t>
  </si>
  <si>
    <t>evahoeynutrition@gmail.com</t>
  </si>
  <si>
    <t xml:space="preserve">Lauren Hovelmann </t>
  </si>
  <si>
    <t>onmy.plate_</t>
  </si>
  <si>
    <t>10 Karbo street</t>
  </si>
  <si>
    <t>Figtree</t>
  </si>
  <si>
    <t>Lauren@onmyplate.net</t>
  </si>
  <si>
    <t xml:space="preserve">Maria Hoyos </t>
  </si>
  <si>
    <t>maferhoyos</t>
  </si>
  <si>
    <t>1x 520g CC &amp; Syrup</t>
  </si>
  <si>
    <t>33 Alfred Road</t>
  </si>
  <si>
    <t>Glen Iris</t>
  </si>
  <si>
    <t>maferhoyosm@gmail.com</t>
  </si>
  <si>
    <t>Older lady, commented on an ad and Reece reached out. She wants to get into content creation</t>
  </si>
  <si>
    <t>Anna van Halteren</t>
  </si>
  <si>
    <t>plates__byanna</t>
  </si>
  <si>
    <t>A1.3/252-256 Old South Head Road</t>
  </si>
  <si>
    <t>bellevue hill</t>
  </si>
  <si>
    <t>Carly Webster</t>
  </si>
  <si>
    <t>hyperunclubbroome</t>
  </si>
  <si>
    <t>20x C&amp;C 80g Sample</t>
  </si>
  <si>
    <t>Shop 27, 8 Short Street</t>
  </si>
  <si>
    <t>Broome</t>
  </si>
  <si>
    <t>15 participants at retreat May 22nd</t>
  </si>
  <si>
    <t>Emily Gough</t>
  </si>
  <si>
    <t>emilygough</t>
  </si>
  <si>
    <t>2x BM &amp; CC (CC in 1kg)</t>
  </si>
  <si>
    <t>26 Hamilton st</t>
  </si>
  <si>
    <t>Meridan Plains</t>
  </si>
  <si>
    <t>150k followers</t>
  </si>
  <si>
    <t xml:space="preserve">Amara Truong </t>
  </si>
  <si>
    <t>pursuitofhealth</t>
  </si>
  <si>
    <t>1x C&amp;C</t>
  </si>
  <si>
    <t>95A Rosamond Road</t>
  </si>
  <si>
    <t>Maidstone</t>
  </si>
  <si>
    <t>pursuitofhealth.melbourne@gmail.com</t>
  </si>
  <si>
    <t xml:space="preserve">Desi Karandaglidis </t>
  </si>
  <si>
    <t>desi.k.health</t>
  </si>
  <si>
    <t>18 Parklink Drive</t>
  </si>
  <si>
    <t>Cranbourne East</t>
  </si>
  <si>
    <t>Kate Edwards</t>
  </si>
  <si>
    <t>__cookingwithkate__</t>
  </si>
  <si>
    <t>Medium - 520g Gluten Free Buttermilk</t>
  </si>
  <si>
    <t>57/140 Eagleby Rd</t>
  </si>
  <si>
    <t>Eagleby</t>
  </si>
  <si>
    <t>Ellie Wilson</t>
  </si>
  <si>
    <t>_elliewilsonfitness__</t>
  </si>
  <si>
    <t>8 Tyrone street</t>
  </si>
  <si>
    <t>chermside west</t>
  </si>
  <si>
    <t xml:space="preserve">Ellie@elliewilsonfitness.com </t>
  </si>
  <si>
    <t>Maree Smith (Snap Fitness Yepoon)</t>
  </si>
  <si>
    <t>snapfitnessyeppoon</t>
  </si>
  <si>
    <t>3x 520g bags</t>
  </si>
  <si>
    <t>Shop 3/64-68 James Street</t>
  </si>
  <si>
    <t>Yeppoon</t>
  </si>
  <si>
    <t>yeppoon@snapfitness.com.au</t>
  </si>
  <si>
    <t>Chelsea Sivell</t>
  </si>
  <si>
    <t>chels.sivell</t>
  </si>
  <si>
    <t>2x 1kg BM and CC</t>
  </si>
  <si>
    <t>7 Hornsby Drive,  VIC 3910</t>
  </si>
  <si>
    <t>Langwarrin</t>
  </si>
  <si>
    <t>99710713779801004910908</t>
  </si>
  <si>
    <t>Jasmine Knowles</t>
  </si>
  <si>
    <t>_jasknowles</t>
  </si>
  <si>
    <t>7 Regency Place</t>
  </si>
  <si>
    <t>Floraville</t>
  </si>
  <si>
    <t>jasmknowles@gmail.com</t>
  </si>
  <si>
    <t>UK Shipments</t>
  </si>
  <si>
    <t>Emily Hurst</t>
  </si>
  <si>
    <t>emilyannfitnesss</t>
  </si>
  <si>
    <t>1 Oakway</t>
  </si>
  <si>
    <t>Bentley</t>
  </si>
  <si>
    <t xml:space="preserve">GU10 5LR </t>
  </si>
  <si>
    <t>Surrey</t>
  </si>
  <si>
    <t>UK</t>
  </si>
  <si>
    <t>emilyhurst04@outlook.com</t>
  </si>
  <si>
    <t xml:space="preserve">Ffion Owen </t>
  </si>
  <si>
    <t>_ffionowen</t>
  </si>
  <si>
    <t>63 Meyler Street</t>
  </si>
  <si>
    <t>Thomastown</t>
  </si>
  <si>
    <t>CF39 8DY</t>
  </si>
  <si>
    <t>Rhondda Cynon Taf</t>
  </si>
  <si>
    <t xml:space="preserve">ffionowen2002@gmail.com </t>
  </si>
  <si>
    <t xml:space="preserve">Cecilia Brown </t>
  </si>
  <si>
    <t>ceciliagracefit</t>
  </si>
  <si>
    <t>Flat 5, granary close</t>
  </si>
  <si>
    <t>Wymondham</t>
  </si>
  <si>
    <t>NR18 9GT</t>
  </si>
  <si>
    <t>Norfolk</t>
  </si>
  <si>
    <t>ceciliagracefit@gmail.com</t>
  </si>
  <si>
    <t xml:space="preserve">Elly Furey </t>
  </si>
  <si>
    <t>ellyffit</t>
  </si>
  <si>
    <t>7 high Holborn</t>
  </si>
  <si>
    <t>Ilkeston</t>
  </si>
  <si>
    <t>DE7 8LA</t>
  </si>
  <si>
    <t>Alisha Mills</t>
  </si>
  <si>
    <t>alimillsfit</t>
  </si>
  <si>
    <t>15 Colne view</t>
  </si>
  <si>
    <t>St Osyth</t>
  </si>
  <si>
    <t>CO168LA</t>
  </si>
  <si>
    <t>alishamillss@outlook.com</t>
  </si>
  <si>
    <t>Tina Ashdown</t>
  </si>
  <si>
    <t>tinaashdownfit</t>
  </si>
  <si>
    <t>7 Blacksmith Drive</t>
  </si>
  <si>
    <t>Exeter</t>
  </si>
  <si>
    <t>EX1 4BG</t>
  </si>
  <si>
    <t>Devon</t>
  </si>
  <si>
    <t>tinaashdownfit@gmail.com</t>
  </si>
  <si>
    <t>Macy Gibbons</t>
  </si>
  <si>
    <t>macyyfit_</t>
  </si>
  <si>
    <t>179 Hallam Way</t>
  </si>
  <si>
    <t>West Hallam</t>
  </si>
  <si>
    <t>DE7 6LP</t>
  </si>
  <si>
    <t>Derbyshire</t>
  </si>
  <si>
    <t>macygibbons7@gmail.com</t>
  </si>
  <si>
    <t>Alana Bell</t>
  </si>
  <si>
    <t>_alanaeats</t>
  </si>
  <si>
    <t>Medium - 520g Maple</t>
  </si>
  <si>
    <t>115 Strathmore Road</t>
  </si>
  <si>
    <t>Gosforth</t>
  </si>
  <si>
    <t>NE3 5JS</t>
  </si>
  <si>
    <t>Tyne and Wear</t>
  </si>
  <si>
    <t>ab_eats_@outlook.com</t>
  </si>
  <si>
    <t>Caitlin Boughton</t>
  </si>
  <si>
    <t>caitlinboughtonfitness</t>
  </si>
  <si>
    <t>Flat 3, 24 Burns Street</t>
  </si>
  <si>
    <t>Nottingham</t>
  </si>
  <si>
    <t>NG7 4DT</t>
  </si>
  <si>
    <t>Caitlin.boughton90@gmail.com</t>
  </si>
  <si>
    <t xml:space="preserve">Aimee Hutchings </t>
  </si>
  <si>
    <t>breakfastwithaimeelou</t>
  </si>
  <si>
    <t xml:space="preserve">63 foxwhelp way </t>
  </si>
  <si>
    <t xml:space="preserve">Quedgeley </t>
  </si>
  <si>
    <t xml:space="preserve">GL2 4DA </t>
  </si>
  <si>
    <t>aimee.hutchings6@gmail.com</t>
  </si>
  <si>
    <t>Emily Charlton</t>
  </si>
  <si>
    <t>etcnutrition</t>
  </si>
  <si>
    <t xml:space="preserve">27 The Meadows </t>
  </si>
  <si>
    <t xml:space="preserve">South Cave </t>
  </si>
  <si>
    <t>HU15 2HR</t>
  </si>
  <si>
    <t>Brough</t>
  </si>
  <si>
    <t>emzcharlton@gmail.com</t>
  </si>
  <si>
    <t>Ellie Severn</t>
  </si>
  <si>
    <t>ellietsfit</t>
  </si>
  <si>
    <t>Story &amp; Post</t>
  </si>
  <si>
    <t>7 Ambleside</t>
  </si>
  <si>
    <t>Hucknall</t>
  </si>
  <si>
    <t>NG156WE</t>
  </si>
  <si>
    <t>ellietsfit@outlook.com</t>
  </si>
  <si>
    <t>Nicole Foster</t>
  </si>
  <si>
    <t>selflovenic</t>
  </si>
  <si>
    <t>Xeinadin Unit 26G</t>
  </si>
  <si>
    <t>Springfield Mills</t>
  </si>
  <si>
    <t>LS28 5LY</t>
  </si>
  <si>
    <t>Bagley Lane</t>
  </si>
  <si>
    <t>nic-foster@hotmail.co.uk</t>
  </si>
  <si>
    <t xml:space="preserve">Lauren Mills </t>
  </si>
  <si>
    <t>eatwellwithlauren</t>
  </si>
  <si>
    <t>Apartment 19 Riverside Court, 20 Thorburn road</t>
  </si>
  <si>
    <t>New Ferry</t>
  </si>
  <si>
    <t>CH62 1EW</t>
  </si>
  <si>
    <t>Wirral</t>
  </si>
  <si>
    <t>eatwellwithlauren@gmail.com</t>
  </si>
  <si>
    <t>Chloe Hood</t>
  </si>
  <si>
    <t>_lifeandfork_</t>
  </si>
  <si>
    <t>Flat 7, 25 Bolingbroke Grove</t>
  </si>
  <si>
    <t>Greater London</t>
  </si>
  <si>
    <t>SW116EL</t>
  </si>
  <si>
    <t>London</t>
  </si>
  <si>
    <t>chloehood_95@hotmail.co.uk</t>
  </si>
  <si>
    <t>Dominique Brinton</t>
  </si>
  <si>
    <t>bydominiquejane</t>
  </si>
  <si>
    <t>520g Buttermilk</t>
  </si>
  <si>
    <t>81 turnstone drive</t>
  </si>
  <si>
    <t>Liverpool</t>
  </si>
  <si>
    <t>L26 7WP</t>
  </si>
  <si>
    <t>Dominique.brinton@outlook.com</t>
  </si>
  <si>
    <t>Emily Adlington</t>
  </si>
  <si>
    <t>wellmade_em</t>
  </si>
  <si>
    <t>41 Sheriff's Lea</t>
  </si>
  <si>
    <t>Beeston</t>
  </si>
  <si>
    <t>NG9 6LJ</t>
  </si>
  <si>
    <t>emilyadlington22@gmail.com</t>
  </si>
  <si>
    <t>Anna Pedrosa</t>
  </si>
  <si>
    <t>ajfoodie</t>
  </si>
  <si>
    <t>520g Buttermilk + 520g Cinnamon Churro</t>
  </si>
  <si>
    <t>7 Earlstone Crescent</t>
  </si>
  <si>
    <t>Cadbury Heath</t>
  </si>
  <si>
    <t>BS30 8AA</t>
  </si>
  <si>
    <t>Bristol</t>
  </si>
  <si>
    <t>Anna.x33@hotmail.com</t>
  </si>
  <si>
    <t>48k followers</t>
  </si>
  <si>
    <t>Pip Bartlett-Mullin</t>
  </si>
  <si>
    <t>nutritionwithpips</t>
  </si>
  <si>
    <t>520g Cinnamon Churro</t>
  </si>
  <si>
    <t>7 Quinton Street</t>
  </si>
  <si>
    <t>SW18 3QR</t>
  </si>
  <si>
    <t>Earlsfield</t>
  </si>
  <si>
    <t>nutritionwithpip@gmail.com</t>
  </si>
  <si>
    <t>Ilyanoor Creer</t>
  </si>
  <si>
    <t>livingoffoats</t>
  </si>
  <si>
    <t>4 The Old Police Station</t>
  </si>
  <si>
    <t>Ferry Road</t>
  </si>
  <si>
    <t>KT7 0XZ</t>
  </si>
  <si>
    <t>livingoffoats@gmail.com</t>
  </si>
  <si>
    <t>Alyssa Dowd</t>
  </si>
  <si>
    <t>blyssnutrition</t>
  </si>
  <si>
    <t>Flat 49, Soldene Court, George’s Road</t>
  </si>
  <si>
    <t>Islington</t>
  </si>
  <si>
    <t>N7 8HQ</t>
  </si>
  <si>
    <t>alyssadowd1@gmail.com</t>
  </si>
  <si>
    <t>Delivery instructions if needed: “buzz Soldene court then, 49”</t>
  </si>
  <si>
    <t>Second time sending to her. Shoots good content.</t>
  </si>
  <si>
    <t xml:space="preserve">Paige Esson </t>
  </si>
  <si>
    <t>glutenless_paige</t>
  </si>
  <si>
    <t>520g Gluten Free Buttermilk</t>
  </si>
  <si>
    <t>46 Spring Meadow Rise</t>
  </si>
  <si>
    <t>Hempsted</t>
  </si>
  <si>
    <t xml:space="preserve">GL2 5NA </t>
  </si>
  <si>
    <t>Gloucester</t>
  </si>
  <si>
    <t>glutenlesspaige@gmail.com</t>
  </si>
  <si>
    <t>72k followers- shoots great content</t>
  </si>
  <si>
    <t>Lindsay Hayes</t>
  </si>
  <si>
    <t>mslindsayhayes</t>
  </si>
  <si>
    <t>4x 520g bags, pan, flipper &amp; scraper - Hotline UGC creator</t>
  </si>
  <si>
    <t>76 High Street</t>
  </si>
  <si>
    <t>Lewes</t>
  </si>
  <si>
    <t>BN7 1XN</t>
  </si>
  <si>
    <t>East Sussex</t>
  </si>
  <si>
    <t>hello@lindsay-hayes.com</t>
  </si>
  <si>
    <t xml:space="preserve">Christianna A. Karaolis </t>
  </si>
  <si>
    <t>christianna.nutritionist</t>
  </si>
  <si>
    <t>520g Maple + 520g Cinnamon Churro</t>
  </si>
  <si>
    <t>38 Cheyne Walk</t>
  </si>
  <si>
    <t>N21 1DE</t>
  </si>
  <si>
    <t>Christianna@eathappyfeelgood.co.uk</t>
  </si>
  <si>
    <t>44k followers</t>
  </si>
  <si>
    <t>Other (NZ, INT Ambassadors)</t>
  </si>
  <si>
    <t>Luis Gutierrez</t>
  </si>
  <si>
    <t>regs_healthy_eats</t>
  </si>
  <si>
    <t>3x 520g (BM, Maple &amp; SC)</t>
  </si>
  <si>
    <t>419 Grand Central Blvd</t>
  </si>
  <si>
    <t xml:space="preserve">Laredo </t>
  </si>
  <si>
    <t>TX</t>
  </si>
  <si>
    <t>US</t>
  </si>
  <si>
    <t>rugitoo@icloud.com</t>
  </si>
  <si>
    <t>Always send her 520g bag sizes moving forward</t>
  </si>
  <si>
    <t>Alex Kenny</t>
  </si>
  <si>
    <t>will.she.eat.it</t>
  </si>
  <si>
    <t>6 Puriri Ave</t>
  </si>
  <si>
    <t>Greenlane</t>
  </si>
  <si>
    <t>AKL</t>
  </si>
  <si>
    <t>NZ</t>
  </si>
  <si>
    <t>Hayley Greer</t>
  </si>
  <si>
    <t>coupleoffoodiess_</t>
  </si>
  <si>
    <t>2x 520g CC &amp; Maple</t>
  </si>
  <si>
    <t>9 Mossburn Grove</t>
  </si>
  <si>
    <t>Kelson</t>
  </si>
  <si>
    <t>Lower Hutt</t>
  </si>
  <si>
    <t>couplefoodies@outlook.com</t>
  </si>
  <si>
    <t>Luke sent to them in the past. Circled back</t>
  </si>
  <si>
    <t>3x 520g (CC, CH &amp; SC) &amp; 3 pack syrup</t>
  </si>
  <si>
    <t>This hasn't been sent! Send via ShipBob UK - but we have limited stock atm</t>
  </si>
  <si>
    <t>Paloma Serville</t>
  </si>
  <si>
    <t>paloma.serville</t>
  </si>
  <si>
    <t>1x BM</t>
  </si>
  <si>
    <t>151 Peachgrove rd</t>
  </si>
  <si>
    <t>Hamilton east</t>
  </si>
  <si>
    <t>Hamilto</t>
  </si>
  <si>
    <t>Jenna Brown</t>
  </si>
  <si>
    <t>jennabrown_official</t>
  </si>
  <si>
    <t>2x BM &amp; CH</t>
  </si>
  <si>
    <t>40 Davies Road</t>
  </si>
  <si>
    <t>Hurdon</t>
  </si>
  <si>
    <t>New Plymouth</t>
  </si>
  <si>
    <t>Hello@jennabrown.co.nz</t>
  </si>
  <si>
    <t>339k boomer influencer. Sent to her twice now</t>
  </si>
  <si>
    <t>Kathy Almaguer</t>
  </si>
  <si>
    <t>kathyfitandwell</t>
  </si>
  <si>
    <t>10661 Wood Dale Dr</t>
  </si>
  <si>
    <t>Dallas</t>
  </si>
  <si>
    <t>USA</t>
  </si>
  <si>
    <t>kathyfitandwell@gmail.com</t>
  </si>
  <si>
    <t>Renata Acevedo Domínguez</t>
  </si>
  <si>
    <t>eatswithren</t>
  </si>
  <si>
    <t xml:space="preserve">Calle Tamborel #2402, Colonia dale </t>
  </si>
  <si>
    <t>Chihuahua</t>
  </si>
  <si>
    <t>MX</t>
  </si>
  <si>
    <t>renata.acevedo.d@gmail.com</t>
  </si>
  <si>
    <t>AU ShipBob Product Codes</t>
  </si>
  <si>
    <t>PANSMALL Custom Boxes - Shipping Cartons</t>
  </si>
  <si>
    <t>UK ShipBob Product Codes</t>
  </si>
  <si>
    <t>520g Salted Caramel</t>
  </si>
  <si>
    <t>520g Chocolate</t>
  </si>
  <si>
    <t>520g Cookies &amp; Cream</t>
  </si>
  <si>
    <t>520g Maple</t>
  </si>
  <si>
    <t>PANSMALL Packaging Materials - Custom Boxes + Thank You Cards</t>
  </si>
  <si>
    <t>Australian Shipments</t>
  </si>
  <si>
    <t>Imala Nossan-Leite</t>
  </si>
  <si>
    <t>imala_</t>
  </si>
  <si>
    <t>2x 500 Cinnamon, Buttermilk &amp; scraper</t>
  </si>
  <si>
    <t>189 Westview Street</t>
  </si>
  <si>
    <t>Scarborough</t>
  </si>
  <si>
    <t>imalanl2001@gmail.com</t>
  </si>
  <si>
    <t>ATT: Kendall</t>
  </si>
  <si>
    <t>fernwood_loganholme</t>
  </si>
  <si>
    <t>30x 80g Samples (all SC flavour)</t>
  </si>
  <si>
    <t>3878 Pacific Highway</t>
  </si>
  <si>
    <t>Loganholme</t>
  </si>
  <si>
    <t>loganholme@fernwoodfitness.com.au</t>
  </si>
  <si>
    <t xml:space="preserve">Josie Ratcliff </t>
  </si>
  <si>
    <t>josieratcliff.dietitian</t>
  </si>
  <si>
    <t>Cinnamon Churro</t>
  </si>
  <si>
    <t>Parcel Collect 10264 49009 Tregear Shopping Centre Shop 5 155 Aurora Drive</t>
  </si>
  <si>
    <t>TREGEAR</t>
  </si>
  <si>
    <t>josieratcliff1@gmail.com</t>
  </si>
  <si>
    <t>Buttermilk</t>
  </si>
  <si>
    <t>39A Ross St</t>
  </si>
  <si>
    <t>Doncaster East</t>
  </si>
  <si>
    <t xml:space="preserve">Stefanie Valakas </t>
  </si>
  <si>
    <t>the_dietologist</t>
  </si>
  <si>
    <t>Cinnamon Churro and Cookies &amp; Cream</t>
  </si>
  <si>
    <t xml:space="preserve">25 Hextol St </t>
  </si>
  <si>
    <t>Croydon Park</t>
  </si>
  <si>
    <t xml:space="preserve">stefanie@thedietologist.com.au </t>
  </si>
  <si>
    <t>Joint acc Stef &amp; Georgia 37k followers</t>
  </si>
  <si>
    <t>Cynthia Dzuriak</t>
  </si>
  <si>
    <t>beigebabyco_</t>
  </si>
  <si>
    <t>Cinnamon Churro, Maple &amp; Buttermilk</t>
  </si>
  <si>
    <t>17 Alexandra Mews</t>
  </si>
  <si>
    <t>c.dzuriak@hotmail.com</t>
  </si>
  <si>
    <t>Doing product photography for us</t>
  </si>
  <si>
    <t>Paige Fleming</t>
  </si>
  <si>
    <t>nutritionistpaige</t>
  </si>
  <si>
    <t>The Pancake Accessories Bundle + Cinnamon</t>
  </si>
  <si>
    <t>5 Yowie Ave</t>
  </si>
  <si>
    <t>Caringbah south</t>
  </si>
  <si>
    <t>nutritionbypaigef@gmail.com</t>
  </si>
  <si>
    <t>Paid Content Creator for Reece</t>
  </si>
  <si>
    <r>
      <rPr>
        <rFont val="Arial"/>
        <color theme="1"/>
      </rPr>
      <t xml:space="preserve">Claudia Torrisi </t>
    </r>
    <r>
      <rPr>
        <rFont val="Arial"/>
        <b/>
        <color theme="1"/>
      </rPr>
      <t>(RTS)</t>
    </r>
  </si>
  <si>
    <t>cookedbyclauds</t>
  </si>
  <si>
    <t>Buttermilk &amp; Cinnamon</t>
  </si>
  <si>
    <t>1 The Mews</t>
  </si>
  <si>
    <t>KIRKHAM</t>
  </si>
  <si>
    <t>claudia-torrisi@hotmail.com</t>
  </si>
  <si>
    <t>Holly Shaw</t>
  </si>
  <si>
    <t>hhollyshaw</t>
  </si>
  <si>
    <t>Cinnamon</t>
  </si>
  <si>
    <t xml:space="preserve">109/11 Veno Street </t>
  </si>
  <si>
    <t>Heathcote</t>
  </si>
  <si>
    <t>Hhollyshaw@gmail.com</t>
  </si>
  <si>
    <t>Danielle Rich</t>
  </si>
  <si>
    <t>kaalilycan</t>
  </si>
  <si>
    <t>18 Deakin St</t>
  </si>
  <si>
    <t>West Ryde</t>
  </si>
  <si>
    <t>daniellerich00@gmail.com</t>
  </si>
  <si>
    <t>Talking over email</t>
  </si>
  <si>
    <t>Olivia Dowding</t>
  </si>
  <si>
    <t>nourishwithliv</t>
  </si>
  <si>
    <t>PO BOX 2300</t>
  </si>
  <si>
    <t>Mandurah DC</t>
  </si>
  <si>
    <t>oliviadowding24@gmail.com</t>
  </si>
  <si>
    <t>Chloe Dew</t>
  </si>
  <si>
    <t>chloemdew</t>
  </si>
  <si>
    <t>6/123 Murriverie road</t>
  </si>
  <si>
    <t>North Bondi</t>
  </si>
  <si>
    <t>chloedew48@gmail.com</t>
  </si>
  <si>
    <t>2nd time sending to her</t>
  </si>
  <si>
    <t>Alyce Rickard</t>
  </si>
  <si>
    <t>alyce_rickard</t>
  </si>
  <si>
    <t>61 Heeb Street</t>
  </si>
  <si>
    <t xml:space="preserve">Bundall </t>
  </si>
  <si>
    <t>alycerickard@gmail.com</t>
  </si>
  <si>
    <t>Long term affiliate, sending her more pancakes</t>
  </si>
  <si>
    <t>Alice Jane</t>
  </si>
  <si>
    <t>aliceejane</t>
  </si>
  <si>
    <t>401/1 Cannes Avenue</t>
  </si>
  <si>
    <t>Surfers Paradise</t>
  </si>
  <si>
    <t>Ben Hampton</t>
  </si>
  <si>
    <t>a.gffamily</t>
  </si>
  <si>
    <t>19 Trelm Place</t>
  </si>
  <si>
    <t xml:space="preserve">Moss Vale </t>
  </si>
  <si>
    <t>hello@aglutenfreefamily.com.au</t>
  </si>
  <si>
    <t xml:space="preserve">Madi Cook </t>
  </si>
  <si>
    <t>madicook.fitness</t>
  </si>
  <si>
    <t>8 Reece court</t>
  </si>
  <si>
    <t>Lilydale</t>
  </si>
  <si>
    <t>Madicookk@gmail.com</t>
  </si>
  <si>
    <t>Luke sent her product in the past (Buttermilk)</t>
  </si>
  <si>
    <t>Chloe Mentiplay</t>
  </si>
  <si>
    <t>_nutritionbliss_</t>
  </si>
  <si>
    <t>19 Fifth Avenue</t>
  </si>
  <si>
    <t>St Lucia</t>
  </si>
  <si>
    <t xml:space="preserve">Annie Dinh </t>
  </si>
  <si>
    <t>annieee_d</t>
  </si>
  <si>
    <t>1 Angus Crt</t>
  </si>
  <si>
    <t>Renown Park</t>
  </si>
  <si>
    <t>helloannied@gmail.com</t>
  </si>
  <si>
    <t>116k</t>
  </si>
  <si>
    <t>Chelsea Allen</t>
  </si>
  <si>
    <t>bodyandmindwithchels</t>
  </si>
  <si>
    <t>290 Carmodys Road</t>
  </si>
  <si>
    <t>Leongatha</t>
  </si>
  <si>
    <t>Chelseaallen290@icloud.com</t>
  </si>
  <si>
    <t>Madeline Mitchell</t>
  </si>
  <si>
    <t>maddiemitchellx</t>
  </si>
  <si>
    <t>flat 9, 23 anzac parade</t>
  </si>
  <si>
    <t>Kensington</t>
  </si>
  <si>
    <t>madelinepaigemitchell@yahoo.co.uk</t>
  </si>
  <si>
    <t>Josh Matthews</t>
  </si>
  <si>
    <t>no.bs.nutrition</t>
  </si>
  <si>
    <t>5 Valrose Road</t>
  </si>
  <si>
    <t xml:space="preserve">Charlemont </t>
  </si>
  <si>
    <t xml:space="preserve">Annie Regnier </t>
  </si>
  <si>
    <t>onlinehypegirls</t>
  </si>
  <si>
    <t>PO Box 261</t>
  </si>
  <si>
    <t>Robe</t>
  </si>
  <si>
    <t>onlinehype@hotmail.com</t>
  </si>
  <si>
    <t>Johana Boutros</t>
  </si>
  <si>
    <t>johanaboutrosgray</t>
  </si>
  <si>
    <t xml:space="preserve">24 chisholm court </t>
  </si>
  <si>
    <t>Golden Grove</t>
  </si>
  <si>
    <t>20k on TikTok</t>
  </si>
  <si>
    <t>Tabbie Neild</t>
  </si>
  <si>
    <t>tabbieneild_</t>
  </si>
  <si>
    <t>Medium - 520g Cinnamon Churro + Medium - 500g Salted Caramel</t>
  </si>
  <si>
    <t>35 Stollberg Road</t>
  </si>
  <si>
    <t>Freeling</t>
  </si>
  <si>
    <t xml:space="preserve">tabbie.neild@hotmail.com </t>
  </si>
  <si>
    <t>Jaushua Sotirio</t>
  </si>
  <si>
    <t>josh_sotirio</t>
  </si>
  <si>
    <t>Medium - 520g Cinnamon Churro + Medium - 500g Cookies &amp; Cream</t>
  </si>
  <si>
    <t>jo_takeshealth</t>
  </si>
  <si>
    <t>Pan, BM1kg and CC 520g</t>
  </si>
  <si>
    <t>Second time sending to her, JOHANA10 and shes adding us to a weekly recipe</t>
  </si>
  <si>
    <t>joboutrosgray</t>
  </si>
  <si>
    <t>Medium - 500g Buttermilk + Medium - 500g Salted Caramel</t>
  </si>
  <si>
    <t>Sending for her 20k giveaway</t>
  </si>
  <si>
    <t>Jack Francis</t>
  </si>
  <si>
    <t>jacktrainz</t>
  </si>
  <si>
    <t>Medium - 500g Buttermilk + Cookies &amp; Cream</t>
  </si>
  <si>
    <t>31B Burnham Road</t>
  </si>
  <si>
    <t>Kingston Park</t>
  </si>
  <si>
    <t>David Wilkie</t>
  </si>
  <si>
    <t>50x CC 80g + 50x SC 80g</t>
  </si>
  <si>
    <t>ASN Coomera</t>
  </si>
  <si>
    <t>Samples for Goodie bags of new store opening</t>
  </si>
  <si>
    <t>Chloe Dunn</t>
  </si>
  <si>
    <t>chloerosedunn96</t>
  </si>
  <si>
    <t>84 bogan street</t>
  </si>
  <si>
    <t>Nyngan</t>
  </si>
  <si>
    <t>Pia Bernardi</t>
  </si>
  <si>
    <t>piabernardi</t>
  </si>
  <si>
    <t>15 gilding avenue</t>
  </si>
  <si>
    <t>Royston Park</t>
  </si>
  <si>
    <t>Piacarlabernardi@outlook.com</t>
  </si>
  <si>
    <t>Studio Pilates Essendon</t>
  </si>
  <si>
    <t>25x SC 80g + 25x CC 80g</t>
  </si>
  <si>
    <t>Maddi Hart</t>
  </si>
  <si>
    <t>madzgraceee</t>
  </si>
  <si>
    <t>Thrive girvaway 2x 520g (BM &amp; CH)</t>
  </si>
  <si>
    <t>maddi.hart@outlook.com</t>
  </si>
  <si>
    <t xml:space="preserve">Bronte Harvey </t>
  </si>
  <si>
    <t>fitwithbronte</t>
  </si>
  <si>
    <t>10 Dalton Court</t>
  </si>
  <si>
    <t>Warragul</t>
  </si>
  <si>
    <t>Bronte@fitwithbronte.com.au</t>
  </si>
  <si>
    <t>Filming scripted UGC</t>
  </si>
  <si>
    <t xml:space="preserve">Chloe Thomas </t>
  </si>
  <si>
    <t>chloethomas.nutrition</t>
  </si>
  <si>
    <t>339 Dorcas Street</t>
  </si>
  <si>
    <t>South Melbourne</t>
  </si>
  <si>
    <t>Chloet122@gmail.com</t>
  </si>
  <si>
    <t>Kayla Janides</t>
  </si>
  <si>
    <t>nutrition.by.kayla</t>
  </si>
  <si>
    <t>63 Alec Avenue</t>
  </si>
  <si>
    <t>Mermaid Waters</t>
  </si>
  <si>
    <t>kaylajanides@gmail.com</t>
  </si>
  <si>
    <t>Paris Mooney</t>
  </si>
  <si>
    <t>thewholesomeeffect</t>
  </si>
  <si>
    <t>15 Pauline Avenue</t>
  </si>
  <si>
    <t>Killcare Heights</t>
  </si>
  <si>
    <t>Hello.twe@outlook.com</t>
  </si>
  <si>
    <t>Ann Gazzard</t>
  </si>
  <si>
    <t>anniesfamilyeats</t>
  </si>
  <si>
    <t>2 Cataract Street</t>
  </si>
  <si>
    <t>Kaleen</t>
  </si>
  <si>
    <t>anniesfamilyeats@gmail.com</t>
  </si>
  <si>
    <t>Madison Pane</t>
  </si>
  <si>
    <t>dietitian_maddie</t>
  </si>
  <si>
    <t>9 Alfred road</t>
  </si>
  <si>
    <t>Essendon</t>
  </si>
  <si>
    <t>Maddie852@bigpond.com</t>
  </si>
  <si>
    <t>International Shipments</t>
  </si>
  <si>
    <t>regs_eats_feels</t>
  </si>
  <si>
    <t>Choc, C&amp;C, Maple, CC</t>
  </si>
  <si>
    <t>620 Logan Ave, access 5</t>
  </si>
  <si>
    <t>Texas</t>
  </si>
  <si>
    <t>4th shipment to her. will create heaps of new content for us</t>
  </si>
  <si>
    <t>Lisa Basford</t>
  </si>
  <si>
    <t>resolution_fitnessnz</t>
  </si>
  <si>
    <t>58 Wakefield street</t>
  </si>
  <si>
    <t xml:space="preserve">Alicetown </t>
  </si>
  <si>
    <t>New Zealand</t>
  </si>
  <si>
    <t>resolutionfitness.pt@gmail.com</t>
  </si>
  <si>
    <t>4th time sending to them. Don't do it anymore</t>
  </si>
  <si>
    <t>ET245490392AU</t>
  </si>
  <si>
    <t>Sarah Wallance</t>
  </si>
  <si>
    <t>sarahjwallacenz (breakfastsam)</t>
  </si>
  <si>
    <t>CC, C&amp;C and Pancake Gift Stack</t>
  </si>
  <si>
    <t>28A Beresford Street</t>
  </si>
  <si>
    <t>Auckland</t>
  </si>
  <si>
    <t>Bayswater</t>
  </si>
  <si>
    <t>sarahjwallacenz@gmail.com</t>
  </si>
  <si>
    <t>Partner @breakfastwithsam has 98k followers, and she posted a story that he loves us, so sent them gift</t>
  </si>
  <si>
    <t>Shoshannah Shand</t>
  </si>
  <si>
    <t>shoshannah.nz</t>
  </si>
  <si>
    <t>Gluten Free Buttermilk</t>
  </si>
  <si>
    <t>338 Williams Street</t>
  </si>
  <si>
    <t>Kaiapoi</t>
  </si>
  <si>
    <t>shoshannahshand@gmail.com</t>
  </si>
  <si>
    <t>Victoria Sheridan</t>
  </si>
  <si>
    <t>victoriarosesheridan</t>
  </si>
  <si>
    <t>101 Hunter Crescent</t>
  </si>
  <si>
    <t>Wānaka</t>
  </si>
  <si>
    <t>Victoriarosesheridan@gmail.com</t>
  </si>
  <si>
    <t>Aria Grant</t>
  </si>
  <si>
    <t>studiopilates_kumeu</t>
  </si>
  <si>
    <t>2x 520g Choc &amp; BM</t>
  </si>
  <si>
    <t>Studio Pilates Kumeu. Upstairs, 1A Tapu Road</t>
  </si>
  <si>
    <t>Kumeu</t>
  </si>
  <si>
    <t>agrant@studiopilates.com</t>
  </si>
  <si>
    <t xml:space="preserve">Azura Lane </t>
  </si>
  <si>
    <t>azura.lane</t>
  </si>
  <si>
    <t>Story 1 of 3</t>
  </si>
  <si>
    <t>12 Wynyard Street</t>
  </si>
  <si>
    <t xml:space="preserve">Mount Eden </t>
  </si>
  <si>
    <t>Laneazura@gmail.com</t>
  </si>
  <si>
    <t>Will do 3 stories once she receives. NZ radio host</t>
  </si>
  <si>
    <t>Antonia Prebble</t>
  </si>
  <si>
    <t>antonia_prebble</t>
  </si>
  <si>
    <t>Medium - 500g Buttermilk + Medium - 500g Chocolate</t>
  </si>
  <si>
    <t>46 Sainsbury Road</t>
  </si>
  <si>
    <t>Mt Albert</t>
  </si>
  <si>
    <t>Ayse Tezel-Hay</t>
  </si>
  <si>
    <t>momentsbyayse</t>
  </si>
  <si>
    <t xml:space="preserve">Unit 4, 93 Bonair Crescent </t>
  </si>
  <si>
    <t>Silverdale</t>
  </si>
  <si>
    <t>aysetezelhay@gmail.com</t>
  </si>
  <si>
    <t>Will do unboxing stories</t>
  </si>
  <si>
    <t>Shakaia Te Whau</t>
  </si>
  <si>
    <t>ilyshak_</t>
  </si>
  <si>
    <t>46 solitude cres</t>
  </si>
  <si>
    <t>Palmerston North</t>
  </si>
  <si>
    <t>ilyshak27@gmail.com</t>
  </si>
  <si>
    <t>Will mention H2K</t>
  </si>
  <si>
    <t>Angel Stewart</t>
  </si>
  <si>
    <t>itsangelstewart</t>
  </si>
  <si>
    <t>146c Aro Street</t>
  </si>
  <si>
    <t>Aro Valley</t>
  </si>
  <si>
    <t>Wellington</t>
  </si>
  <si>
    <t>angelstewart110@gmail.com</t>
  </si>
  <si>
    <t>Kennedy Bryan</t>
  </si>
  <si>
    <t>kennedylynne</t>
  </si>
  <si>
    <t>804 Loma Dr</t>
  </si>
  <si>
    <t>Hermosa Beach</t>
  </si>
  <si>
    <t>CA</t>
  </si>
  <si>
    <t>Kennedylynne29@gmail.com</t>
  </si>
  <si>
    <t>First propoer US influencer. 20k followers</t>
  </si>
  <si>
    <t>Paige Gascoigne</t>
  </si>
  <si>
    <t>_paiges_plates</t>
  </si>
  <si>
    <t>42 Dundas St</t>
  </si>
  <si>
    <t>Dunedin North</t>
  </si>
  <si>
    <t>Dunedin</t>
  </si>
  <si>
    <t>gascoignepaige@gmail.com</t>
  </si>
  <si>
    <t xml:space="preserve">Cheyanne Scalese </t>
  </si>
  <si>
    <t>cheyannescalese</t>
  </si>
  <si>
    <t>307 1st St</t>
  </si>
  <si>
    <t>Lancaster</t>
  </si>
  <si>
    <t>MN</t>
  </si>
  <si>
    <t>cscalese30@gmail.com</t>
  </si>
  <si>
    <t>Linda Bishop</t>
  </si>
  <si>
    <t>littlebabylinda</t>
  </si>
  <si>
    <t>8530 Mediterranean drive</t>
  </si>
  <si>
    <t>Littlelinda@me.com</t>
  </si>
  <si>
    <t>170k followers</t>
  </si>
  <si>
    <t>Riley Ballantyne</t>
  </si>
  <si>
    <t>rileyballantyne_</t>
  </si>
  <si>
    <t>174 Mackenzie Street / company - CSC</t>
  </si>
  <si>
    <t>Winton</t>
  </si>
  <si>
    <t>rileyballantyne27@gmail.com</t>
  </si>
  <si>
    <t>All accessories</t>
  </si>
  <si>
    <t>519 Farragut St Ste F, PMB 204</t>
  </si>
  <si>
    <t>Brittany Baugh</t>
  </si>
  <si>
    <t>bee.rose.b</t>
  </si>
  <si>
    <t>Alicia Claridge</t>
  </si>
  <si>
    <t>alicia.claridge</t>
  </si>
  <si>
    <t>38 Croydon Street</t>
  </si>
  <si>
    <t>Karori</t>
  </si>
  <si>
    <t>claridgealicia@gmail.com</t>
  </si>
  <si>
    <t>3x 520g (Buttermilk, Maple, Cinnamon Churro)</t>
  </si>
  <si>
    <t>Kathy Almaguer ($45 AUD SHIPPING)</t>
  </si>
  <si>
    <t>1kg GFBM and pancake pan with accessories</t>
  </si>
  <si>
    <t>2x 500g CC and BM</t>
  </si>
  <si>
    <t>0810</t>
  </si>
  <si>
    <t>Kristin McGee</t>
  </si>
  <si>
    <t>kristinmcgee</t>
  </si>
  <si>
    <t>1516 N 15th St</t>
  </si>
  <si>
    <t>Boise</t>
  </si>
  <si>
    <t>Idaho</t>
  </si>
  <si>
    <t>Krimcgee@gmail.com</t>
  </si>
  <si>
    <t>209k sent us DM asking if we ship to America</t>
  </si>
  <si>
    <t>Renata Acevedo Domínguez ($45 AUD SHIPPING)</t>
  </si>
  <si>
    <t xml:space="preserve">Ayse Tezel </t>
  </si>
  <si>
    <t xml:space="preserve">11/21 Makomako Drive </t>
  </si>
  <si>
    <t>Orewa North</t>
  </si>
  <si>
    <t>0931</t>
  </si>
  <si>
    <t>2nd time sending to her. Wanted GF BM</t>
  </si>
  <si>
    <t>Jaime Pickett</t>
  </si>
  <si>
    <t>thesweatclubkaraka</t>
  </si>
  <si>
    <t>11 Manuwai Lane</t>
  </si>
  <si>
    <t>Karaka</t>
  </si>
  <si>
    <t>2578</t>
  </si>
  <si>
    <t>4x 520g bags</t>
  </si>
  <si>
    <t>5th time sending to them. Don't do it anymore</t>
  </si>
  <si>
    <t>Tasha Coombs</t>
  </si>
  <si>
    <t>tashaacoombs</t>
  </si>
  <si>
    <t>CC and BM 520g and pan, scraper, flipper</t>
  </si>
  <si>
    <t>37 South Rd</t>
  </si>
  <si>
    <t>West Bridgford</t>
  </si>
  <si>
    <t>NG2 7AH</t>
  </si>
  <si>
    <t>Doing voice overs for us with UK accent</t>
  </si>
  <si>
    <t>2x 1kg GFBM</t>
  </si>
  <si>
    <t>Third time sending to her</t>
  </si>
  <si>
    <t>Maggie Ching</t>
  </si>
  <si>
    <t>_maggieching</t>
  </si>
  <si>
    <t>1083 west 51st avenue</t>
  </si>
  <si>
    <t>Vancouver</t>
  </si>
  <si>
    <t>V6P1C2</t>
  </si>
  <si>
    <t>BC</t>
  </si>
  <si>
    <t>Canada</t>
  </si>
  <si>
    <t>maggieching18@gmail.com</t>
  </si>
  <si>
    <t>Qualified dieticin</t>
  </si>
  <si>
    <t>2x 1kg (Buttermilk &amp; Cinnamon Churro)</t>
  </si>
  <si>
    <t>3x 520g CC, C&amp;C, CH</t>
  </si>
  <si>
    <t>New Plympton</t>
  </si>
  <si>
    <t>334K followers</t>
  </si>
  <si>
    <t>TBC</t>
  </si>
  <si>
    <t>foodiesguide__</t>
  </si>
  <si>
    <t>Rua Joaquim David 159, 2°H</t>
  </si>
  <si>
    <t>Leiria</t>
  </si>
  <si>
    <t>2400-441</t>
  </si>
  <si>
    <t>PT</t>
  </si>
  <si>
    <t>ShipBob Product Codes</t>
  </si>
  <si>
    <t>Brand</t>
  </si>
  <si>
    <t>Followers</t>
  </si>
  <si>
    <t>Full Name</t>
  </si>
  <si>
    <t>Collab Status / Date</t>
  </si>
  <si>
    <t>Mobile</t>
  </si>
  <si>
    <t>Frisp Australia</t>
  </si>
  <si>
    <t>frispaustralia</t>
  </si>
  <si>
    <t>107k</t>
  </si>
  <si>
    <t>Jason Wehbe</t>
  </si>
  <si>
    <t>jason@healthier-tastier.com</t>
  </si>
  <si>
    <t>In Progress</t>
  </si>
  <si>
    <t xml:space="preserve">0432 574 831 </t>
  </si>
  <si>
    <t>Collab is happening with Frisp and Coco Earth. Waiting to receive product</t>
  </si>
  <si>
    <t>Chobani</t>
  </si>
  <si>
    <t>chobaniau</t>
  </si>
  <si>
    <t>58k</t>
  </si>
  <si>
    <t>Kat Brink</t>
  </si>
  <si>
    <t>info@chobani.com.au</t>
  </si>
  <si>
    <t>Exchanging product</t>
  </si>
  <si>
    <t>Sent samples, and will recieve something product from them too</t>
  </si>
  <si>
    <t>Supermarket Swap</t>
  </si>
  <si>
    <t>supermarket.swap</t>
  </si>
  <si>
    <t>314k</t>
  </si>
  <si>
    <t>Marina</t>
  </si>
  <si>
    <t>support@supermarketswap.com.au</t>
  </si>
  <si>
    <t xml:space="preserve">Started a convo with Marina via email, sent bunch of samples. need to let them know about GF. </t>
  </si>
  <si>
    <t>She's really polite and helpful</t>
  </si>
  <si>
    <t>Goodness Me</t>
  </si>
  <si>
    <t>goodnessme</t>
  </si>
  <si>
    <t>118k</t>
  </si>
  <si>
    <t>Marissa</t>
  </si>
  <si>
    <t>Revisit mid year to accomodate 500 or so samples CC and GFBM. Told her it doesn't align with production schedule atm and to re-visit mid year</t>
  </si>
  <si>
    <t>Funday Sweets</t>
  </si>
  <si>
    <t>fundaysweets</t>
  </si>
  <si>
    <t>47k</t>
  </si>
  <si>
    <t>Started convo last year, aim for new collab this year</t>
  </si>
  <si>
    <t>Driscoll's Berries</t>
  </si>
  <si>
    <t>driscollsberry</t>
  </si>
  <si>
    <t>119k</t>
  </si>
  <si>
    <t>Winona and Sonia</t>
  </si>
  <si>
    <t>winona.qin@driscolls.com.au / sonia.gabauer@driscolls.com.au</t>
  </si>
  <si>
    <t>Sophie M (Sircle Media - sophiem@sircle.me) put me onto Sonia and Winona. Emailed</t>
  </si>
  <si>
    <t>Natvia</t>
  </si>
  <si>
    <t>natvialiving</t>
  </si>
  <si>
    <t>41k</t>
  </si>
  <si>
    <t>Kimie</t>
  </si>
  <si>
    <r>
      <rPr>
        <rFont val="Arial"/>
        <color theme="1"/>
      </rPr>
      <t xml:space="preserve">Small offering, suggested a big giveaway - </t>
    </r>
    <r>
      <rPr>
        <rFont val="Arial"/>
        <b/>
        <color theme="1"/>
      </rPr>
      <t>will propose to chobani and driscoll's</t>
    </r>
  </si>
  <si>
    <t>YoPRO</t>
  </si>
  <si>
    <t>yoproau</t>
  </si>
  <si>
    <t>48k</t>
  </si>
  <si>
    <r>
      <rPr>
        <rFont val="Arial"/>
        <color theme="1"/>
      </rPr>
      <t xml:space="preserve">Bridget </t>
    </r>
    <r>
      <rPr>
        <rFont val="Arial"/>
        <b/>
        <color theme="1"/>
      </rPr>
      <t>(Always Human)</t>
    </r>
  </si>
  <si>
    <t>bwalker@alwayshuman.com</t>
  </si>
  <si>
    <t>Emailed and suggested big collab with Natvia and Driscoll's</t>
  </si>
  <si>
    <t>Table of Plenty</t>
  </si>
  <si>
    <t>tableofplenty</t>
  </si>
  <si>
    <t>33.7k</t>
  </si>
  <si>
    <t>cara@tuckshop.agency</t>
  </si>
  <si>
    <t>Sent Cara email</t>
  </si>
  <si>
    <t>Natural Raw C</t>
  </si>
  <si>
    <t>naturalrawc</t>
  </si>
  <si>
    <t>49k</t>
  </si>
  <si>
    <t>Yvonne</t>
  </si>
  <si>
    <t>yvonne@umm.com.au</t>
  </si>
  <si>
    <t>Sent DM</t>
  </si>
  <si>
    <t>Agencies</t>
  </si>
  <si>
    <t>Circle Me</t>
  </si>
  <si>
    <t>Silver Social</t>
  </si>
  <si>
    <t>Tuckshop Agency</t>
  </si>
  <si>
    <t>Always Human</t>
  </si>
  <si>
    <t>Umm</t>
  </si>
  <si>
    <t>Moved all of this to Notion ^</t>
  </si>
  <si>
    <t>Name</t>
  </si>
  <si>
    <t>Instagram</t>
  </si>
  <si>
    <t>IG CONTENT</t>
  </si>
  <si>
    <t>Elis Halenko</t>
  </si>
  <si>
    <t>thefoodstylistrd</t>
  </si>
  <si>
    <t xml:space="preserve">Fernanda Tavares </t>
  </si>
  <si>
    <t>fertavarez</t>
  </si>
  <si>
    <t>Natalie Chan</t>
  </si>
  <si>
    <t>_dlightful</t>
  </si>
  <si>
    <t>Lily Corliss</t>
  </si>
  <si>
    <t>nourish.and.nutbutter</t>
  </si>
  <si>
    <t>Regina Del Toro (Luis Gutierrez)</t>
  </si>
  <si>
    <t>Sophie Beldham-Collins</t>
  </si>
  <si>
    <t>justagalandhereats</t>
  </si>
  <si>
    <t>Maddy Cross</t>
  </si>
  <si>
    <t>maddycrosscoaching</t>
  </si>
  <si>
    <t>Brooke Fisher</t>
  </si>
  <si>
    <t>becomingbrooke__</t>
  </si>
  <si>
    <t>Gemmah Weston</t>
  </si>
  <si>
    <t>__healthieryou</t>
  </si>
  <si>
    <t>Elise Gordon</t>
  </si>
  <si>
    <t>elisevlogsthat</t>
  </si>
  <si>
    <t>Emma Clarke</t>
  </si>
  <si>
    <t>emmaclarke_nutrition</t>
  </si>
  <si>
    <t>UGC</t>
  </si>
  <si>
    <t>Item1</t>
  </si>
  <si>
    <t>Quantity1</t>
  </si>
  <si>
    <t>Item2</t>
  </si>
  <si>
    <t>Quantity2</t>
  </si>
  <si>
    <t>Item3</t>
  </si>
  <si>
    <t>Quantity3</t>
  </si>
  <si>
    <t>Item4</t>
  </si>
  <si>
    <t>Quantity4</t>
  </si>
  <si>
    <t>CIRCLE SMILE CARD Packaging Materials - Custom Boxes + Thank You Cards</t>
  </si>
  <si>
    <t>Buttermilk Sample</t>
  </si>
  <si>
    <t>PAN#2MEDIUM Custom Boxes - Shipping Cartons</t>
  </si>
  <si>
    <t>Chocolate Sample</t>
  </si>
  <si>
    <t>20-29</t>
  </si>
  <si>
    <t>PANMEDIUM Custom Boxes - Shipping Cartons</t>
  </si>
  <si>
    <t>Salted Caramel Sample</t>
  </si>
  <si>
    <t>30-39</t>
  </si>
  <si>
    <t>PANLARGE Custom Boxes - Shipping Cartons</t>
  </si>
  <si>
    <t>Cookies &amp; Cream Sample</t>
  </si>
  <si>
    <t>40-49</t>
  </si>
  <si>
    <t>PANXLARGE/520 Custom Boxes - Shipping Cartons</t>
  </si>
  <si>
    <t>The Pancake Pan</t>
  </si>
  <si>
    <t>The Flipper</t>
  </si>
  <si>
    <t>The Sample Stack</t>
  </si>
  <si>
    <t>ATT: Casey</t>
  </si>
  <si>
    <t>dietitiancasey</t>
  </si>
  <si>
    <t>23/1049 Wynnum Road, Cannon Hill 4170 QLD</t>
  </si>
  <si>
    <t>99712064897801000840908</t>
  </si>
  <si>
    <t>Tayla Clegg</t>
  </si>
  <si>
    <t>fuelled.with.tayla</t>
  </si>
  <si>
    <t>Cookies &amp; Cream</t>
  </si>
  <si>
    <t>33 Dungannon CRT Buderim, 4556 QLD</t>
  </si>
  <si>
    <t>99712064902001000840903</t>
  </si>
  <si>
    <t>Georgia Blair</t>
  </si>
  <si>
    <t>georgiablair.nutrition</t>
  </si>
  <si>
    <t xml:space="preserve">38 Gotha St, Cleveland QLD 4163 </t>
  </si>
  <si>
    <t>99712064907901000840901</t>
  </si>
  <si>
    <t xml:space="preserve">Nikki Martin </t>
  </si>
  <si>
    <t>riseandrunclub</t>
  </si>
  <si>
    <t>Story @nikkimartin__</t>
  </si>
  <si>
    <t>50x 80g Samples</t>
  </si>
  <si>
    <t>7 Money Road Attadale WA 6156</t>
  </si>
  <si>
    <t>Handing out to morning run club</t>
  </si>
  <si>
    <t>99712064911901000840904</t>
  </si>
  <si>
    <t>Charlotte McKinnon</t>
  </si>
  <si>
    <t>charlotte_mckinnon</t>
  </si>
  <si>
    <t>UGC Sent</t>
  </si>
  <si>
    <t>906/2 Mawarra Street, Palm Beach, 4221 Gold Coast</t>
  </si>
  <si>
    <t>ugcbycharlottem@gmail.com</t>
  </si>
  <si>
    <t>Emailed me UGC Content</t>
  </si>
  <si>
    <t>99712064917301000840906</t>
  </si>
  <si>
    <t>Sara Prostran</t>
  </si>
  <si>
    <t>ugc.withsara</t>
  </si>
  <si>
    <t>29A Fortrose Ave, Seaton 5023 SA</t>
  </si>
  <si>
    <t>prostran.ugccreator@gmail.com</t>
  </si>
  <si>
    <t>UGC Content</t>
  </si>
  <si>
    <t>99712064920901000840902</t>
  </si>
  <si>
    <t xml:space="preserve">Chanel Bishop </t>
  </si>
  <si>
    <t>dietitianchanel</t>
  </si>
  <si>
    <t>96 Dixon road, Buderim, QLD, 4556</t>
  </si>
  <si>
    <t>99712064923901000840909</t>
  </si>
  <si>
    <t>Ashleigh D’Arcy</t>
  </si>
  <si>
    <t>ashleigh.nutrition</t>
  </si>
  <si>
    <t xml:space="preserve">815/386 King St Newcastle NSW 2300 </t>
  </si>
  <si>
    <t>99712064928201000840905</t>
  </si>
  <si>
    <t>Chloe Thomas</t>
  </si>
  <si>
    <t>outlook.health</t>
  </si>
  <si>
    <t>60 viviani crescent, Heathmont, vic 3135</t>
  </si>
  <si>
    <t>99712064930101000840903</t>
  </si>
  <si>
    <t>Amanda Rose</t>
  </si>
  <si>
    <t>amandaarosee__</t>
  </si>
  <si>
    <t>6 Kilkenny Avenue, Mudgee. NSW, 2850</t>
  </si>
  <si>
    <t>99712064938301000840909</t>
  </si>
  <si>
    <t>ATT: Myria</t>
  </si>
  <si>
    <t>athelitenutrition</t>
  </si>
  <si>
    <t xml:space="preserve">5 Nimrud Street, Southport 4215, Gold Coast, QLD </t>
  </si>
  <si>
    <t>99712064941501000840907</t>
  </si>
  <si>
    <t>Annie Gazzard</t>
  </si>
  <si>
    <t>Salted Caramel</t>
  </si>
  <si>
    <t>2 Cataract Street Kaleen ACT 2617</t>
  </si>
  <si>
    <t>Emailed me content to use</t>
  </si>
  <si>
    <t>99712064945601000840900</t>
  </si>
  <si>
    <t>Mikayla Stefos</t>
  </si>
  <si>
    <t>incline_nutrition</t>
  </si>
  <si>
    <t>24 Myers Street, Sans Souci NSW 2219</t>
  </si>
  <si>
    <t>99712064950801000840906</t>
  </si>
  <si>
    <t>Kylee J</t>
  </si>
  <si>
    <t>sunniepilates</t>
  </si>
  <si>
    <t>Keep an eye on Shopify, will buy pan and we include mix</t>
  </si>
  <si>
    <t>SENT</t>
  </si>
  <si>
    <t>299 Springdale Road, Bethanga VIC 3691</t>
  </si>
  <si>
    <t>Re - target. already worked together</t>
  </si>
  <si>
    <t>99712150663801000840903</t>
  </si>
  <si>
    <t>Alison Raaymakers</t>
  </si>
  <si>
    <t>N/A</t>
  </si>
  <si>
    <t>25x 80g Samples</t>
  </si>
  <si>
    <t>18 Oak Grove, Ripponlea VIC 3185</t>
  </si>
  <si>
    <t>info@skcc.com.au</t>
  </si>
  <si>
    <t>Handed out to cyclists - feedback via email</t>
  </si>
  <si>
    <t>99712150669001000840901</t>
  </si>
  <si>
    <t>Hanah Mills</t>
  </si>
  <si>
    <t>hanahmills</t>
  </si>
  <si>
    <t xml:space="preserve">4/90 Northlink place, Virginia, QLD 4014 </t>
  </si>
  <si>
    <t>99712150675501000840907</t>
  </si>
  <si>
    <t>Lauren Price</t>
  </si>
  <si>
    <t>_laur_lifts__ (99k followers)</t>
  </si>
  <si>
    <t>Buttermilk + C &amp; C</t>
  </si>
  <si>
    <t>1005 Stonegate Dr, Apt A, Auburn, AL, 36830</t>
  </si>
  <si>
    <t>laurlifts@yahoo.com</t>
  </si>
  <si>
    <t>LK199303753AU</t>
  </si>
  <si>
    <t>Michelle Joo</t>
  </si>
  <si>
    <t>Post</t>
  </si>
  <si>
    <t>14 Excelsior st Concord NSW 2137</t>
  </si>
  <si>
    <t>99712150705401000840900</t>
  </si>
  <si>
    <t>Lena Baars</t>
  </si>
  <si>
    <t>i.am.lena.marie</t>
  </si>
  <si>
    <t>41B Pollard Street Glendalough WA 6016</t>
  </si>
  <si>
    <t>LENA10 discount code</t>
  </si>
  <si>
    <t>99712150711901000840906</t>
  </si>
  <si>
    <t>Maggie Cowan</t>
  </si>
  <si>
    <t>maggiedietitian</t>
  </si>
  <si>
    <t>121/8 Ghilgai Road merrimac QLD 4226</t>
  </si>
  <si>
    <t>99712150723501000840903</t>
  </si>
  <si>
    <t>Ella Scott</t>
  </si>
  <si>
    <t>essentiallyella_</t>
  </si>
  <si>
    <t xml:space="preserve">1 Virginia Terrace, Thirroul NSW </t>
  </si>
  <si>
    <t>99712155392101000840904</t>
  </si>
  <si>
    <t>Courtney Ellis</t>
  </si>
  <si>
    <t>courtneyellisnutrition</t>
  </si>
  <si>
    <t>63 Tramore st, Rocklea QLD 4106</t>
  </si>
  <si>
    <t>99712155397401000840900</t>
  </si>
  <si>
    <t>F45 Mackay North</t>
  </si>
  <si>
    <t>f45_training_mackaynorth</t>
  </si>
  <si>
    <t>20x 80g Samples</t>
  </si>
  <si>
    <t>16 Rural View Drive, Rural View QLD 4740</t>
  </si>
  <si>
    <t>Handing out to F45 class members</t>
  </si>
  <si>
    <t>99712155435301000840902</t>
  </si>
  <si>
    <t>Caitlin Fleming</t>
  </si>
  <si>
    <t>caitlinjay__</t>
  </si>
  <si>
    <t>48 Esplanade Jacobs Well, QLD 4208</t>
  </si>
  <si>
    <t>99712155449801000840900</t>
  </si>
  <si>
    <t>Beth Cook</t>
  </si>
  <si>
    <t>thatsjustit_nutrition</t>
  </si>
  <si>
    <t>99 Inglenook Circuit, Armstrong Creek, Victoria 3217</t>
  </si>
  <si>
    <t>99712155457401000840901</t>
  </si>
  <si>
    <t>61 Heeb Street. Bundall QLD, 4217</t>
  </si>
  <si>
    <t>99712155465901000840905</t>
  </si>
  <si>
    <t>Clarissa Sampang</t>
  </si>
  <si>
    <t>breakfastbyclarissa</t>
  </si>
  <si>
    <t>Maple Bacon</t>
  </si>
  <si>
    <t>169 Walgrove Common SE, Calgary AB, Canada, T2X 4C2</t>
  </si>
  <si>
    <t>LK199367073AU</t>
  </si>
  <si>
    <t xml:space="preserve">Jaina Verma </t>
  </si>
  <si>
    <t>studiopilates_broadbeach</t>
  </si>
  <si>
    <t>30x 80g Samples</t>
  </si>
  <si>
    <t>Studio Pilates Broadbeach, The Oasis Shopping Centre, Level 1, 75 Surf Parade Broadbeach QLD 4218</t>
  </si>
  <si>
    <t>99712155409601000840908</t>
  </si>
  <si>
    <t xml:space="preserve">Belinda Lee </t>
  </si>
  <si>
    <t>bleestar01</t>
  </si>
  <si>
    <t>BARKERS GIVEAWAY WINNER</t>
  </si>
  <si>
    <t>1 Townsend st. Ivanhoe VIC 3079</t>
  </si>
  <si>
    <t>leebelinda01@gmail.com</t>
  </si>
  <si>
    <t>99712339456501000840903</t>
  </si>
  <si>
    <t xml:space="preserve">Abbey Siviour </t>
  </si>
  <si>
    <t>abbeysivnutrition</t>
  </si>
  <si>
    <t>2 Eugenia Crescent, Blackwood SA 5051</t>
  </si>
  <si>
    <t>99712339456601000840900</t>
  </si>
  <si>
    <t>Agustina Gil</t>
  </si>
  <si>
    <t>contentbyagu (paid $50)</t>
  </si>
  <si>
    <t>Emailed us</t>
  </si>
  <si>
    <t>Chocolate + pancake pan</t>
  </si>
  <si>
    <t>122 Headland Road, North Curl Curl, NSW, 2099</t>
  </si>
  <si>
    <t>contentbyagustinagil@gmail.com</t>
  </si>
  <si>
    <t>UGC Content. Luke paid her $50</t>
  </si>
  <si>
    <t>99712339456901000840901</t>
  </si>
  <si>
    <t>Brighde McGrath</t>
  </si>
  <si>
    <t>buddingdietitian</t>
  </si>
  <si>
    <t>8 Lee Street Flemington, VIC 3031</t>
  </si>
  <si>
    <t>99712339457001000840907</t>
  </si>
  <si>
    <t>Carla Jay-Hulme</t>
  </si>
  <si>
    <t>carlarosefitness</t>
  </si>
  <si>
    <t>4 Devlin Grove Landsdale WA 6065</t>
  </si>
  <si>
    <t>99712339457101000840904</t>
  </si>
  <si>
    <t>Jacqueline Gray</t>
  </si>
  <si>
    <t>fitwithjacqui</t>
  </si>
  <si>
    <t>27 Balcombe Street, Westminster, WA, 6061</t>
  </si>
  <si>
    <t>99712339457201000840901</t>
  </si>
  <si>
    <t>Beth Frame</t>
  </si>
  <si>
    <t>fit.with.frame</t>
  </si>
  <si>
    <t>20 Connelly Way, Booragoon, WA, 6154</t>
  </si>
  <si>
    <t>99712339457401000840905</t>
  </si>
  <si>
    <t>Sandrine Burgess</t>
  </si>
  <si>
    <t>sandrine.fit</t>
  </si>
  <si>
    <t xml:space="preserve">110 Gardner Street, Como, WA 6152 </t>
  </si>
  <si>
    <t>99712339457501000840902</t>
  </si>
  <si>
    <t>Savana Basilio</t>
  </si>
  <si>
    <t>savanab_fit</t>
  </si>
  <si>
    <t>119 Burswood Road, Burswood 6100 WA</t>
  </si>
  <si>
    <t>99712339457701000840906</t>
  </si>
  <si>
    <t>Emma Watt</t>
  </si>
  <si>
    <t>emmawattnutrition</t>
  </si>
  <si>
    <t>7 Hammersley Court, Kilsyth 3137, VIC</t>
  </si>
  <si>
    <t>99712339457801000840903</t>
  </si>
  <si>
    <t xml:space="preserve">Chloe Mentiplay </t>
  </si>
  <si>
    <t>2 peppermint place Somerville vic 3912 Australia</t>
  </si>
  <si>
    <t>99712339457901000840900</t>
  </si>
  <si>
    <t>Tegan Doran</t>
  </si>
  <si>
    <t>tegandoranfitness</t>
  </si>
  <si>
    <t>5/22 Warrabel Road, Ferntree Gully, VIC, 3156</t>
  </si>
  <si>
    <t>99712339458001000840906</t>
  </si>
  <si>
    <t xml:space="preserve">Tara Finn </t>
  </si>
  <si>
    <t>fuelledwithtara</t>
  </si>
  <si>
    <t>11/48-54 railway crescent, Jannali 2226</t>
  </si>
  <si>
    <t>99712339458201000840900</t>
  </si>
  <si>
    <t>Sienna Harben</t>
  </si>
  <si>
    <t>sienna_harben</t>
  </si>
  <si>
    <t>U16/249 Ashmore Road, Benowa, 4217 Gold Coast QLD, Australia</t>
  </si>
  <si>
    <t>ugcwithsiennacharlotte@gmail.com</t>
  </si>
  <si>
    <t>UGC Creator, talking over email</t>
  </si>
  <si>
    <t>99712339458301000840907</t>
  </si>
  <si>
    <t>Tracey-Leigh Edwards</t>
  </si>
  <si>
    <t>trac.ceey</t>
  </si>
  <si>
    <t>35 Harbrow Grove Seacombe Gardens SA 5047</t>
  </si>
  <si>
    <t>99712339458501000840901</t>
  </si>
  <si>
    <t>Macie Lovell</t>
  </si>
  <si>
    <t>nutritionbymacie</t>
  </si>
  <si>
    <t>14 stables street kilmore 3764 vic</t>
  </si>
  <si>
    <t>Putting TPP in her meal plans, sent her marketing content</t>
  </si>
  <si>
    <t>99712339458601000840908</t>
  </si>
  <si>
    <t>Georgia Anagnostakos</t>
  </si>
  <si>
    <t>nutritionwithgeorgia</t>
  </si>
  <si>
    <t>14 Mackie Rd Bentleigh East, 3165</t>
  </si>
  <si>
    <t>99712339458801000840902</t>
  </si>
  <si>
    <t>Jordi Jochelson</t>
  </si>
  <si>
    <t>jordelicious__</t>
  </si>
  <si>
    <t>3/41 Francis Street Bondi Beach 2026</t>
  </si>
  <si>
    <t>99712339459101000840902</t>
  </si>
  <si>
    <t>Amy Royle</t>
  </si>
  <si>
    <t>amyyr.fit</t>
  </si>
  <si>
    <t>34 Clifton street Nedlands WA 6009</t>
  </si>
  <si>
    <t>99712339460301000840902</t>
  </si>
  <si>
    <t>Emily Ball</t>
  </si>
  <si>
    <t>eball.fit</t>
  </si>
  <si>
    <t>19 Southmead Drive, Landsdale WA 6065</t>
  </si>
  <si>
    <t>99712339462401000840907</t>
  </si>
  <si>
    <t xml:space="preserve">Devni Meewathurage </t>
  </si>
  <si>
    <t>tasteswholesome</t>
  </si>
  <si>
    <t>5 Blossom Grove Knoxfield 3180 Vic</t>
  </si>
  <si>
    <t>99712339464401000840905</t>
  </si>
  <si>
    <t xml:space="preserve">Alejandra Osornio </t>
  </si>
  <si>
    <t>burntgirlcooks</t>
  </si>
  <si>
    <t>9/302 Burns Bay Road, Lane Cove NSW 2066</t>
  </si>
  <si>
    <t>99712339466301000840906</t>
  </si>
  <si>
    <t>thatsimpleblog</t>
  </si>
  <si>
    <t>174 Appel St Graceville 4075 QLD</t>
  </si>
  <si>
    <t>99712339466701000840904</t>
  </si>
  <si>
    <t>thrive.wellness.club</t>
  </si>
  <si>
    <t>7 Hornsby Drive, Langwarrin VIC 3910</t>
  </si>
  <si>
    <t>Verity Ling</t>
  </si>
  <si>
    <t>verityling</t>
  </si>
  <si>
    <t>102/21 Canberra Terrace, Kings Beach, QLD, 4551</t>
  </si>
  <si>
    <t>99711261402601000840904</t>
  </si>
  <si>
    <t>Ashton Langford</t>
  </si>
  <si>
    <t>ashtonlangford_</t>
  </si>
  <si>
    <t>3x 500g (b/milk/ choc, s/caramel)</t>
  </si>
  <si>
    <t>1 Avalon avenue novar gardens SA 5040</t>
  </si>
  <si>
    <t>99712339467101000840901</t>
  </si>
  <si>
    <t>nikkimartin__</t>
  </si>
  <si>
    <t>Chocolate</t>
  </si>
  <si>
    <t>99712339467201000840908</t>
  </si>
  <si>
    <t>Jessie McKay</t>
  </si>
  <si>
    <t>jessiemckay_ugc</t>
  </si>
  <si>
    <t>114/68 West street, Rochedale, 4123 QLD</t>
  </si>
  <si>
    <t>jessiemckay99@icloud.com</t>
  </si>
  <si>
    <t>UGC Creator, talking over email. Sent UGC, asked her to re-do voice overs</t>
  </si>
  <si>
    <t>99712339467401000840902</t>
  </si>
  <si>
    <t>Bailey McDougall</t>
  </si>
  <si>
    <t>baileymcdougallfitness</t>
  </si>
  <si>
    <t>2822 Gracemere Circuit E</t>
  </si>
  <si>
    <t>Hope Island</t>
  </si>
  <si>
    <t>Australia</t>
  </si>
  <si>
    <t>ATT: Jessica, COYO Office Admin</t>
  </si>
  <si>
    <t>coyo_organic</t>
  </si>
  <si>
    <t>3x 500g (b/milk, choc, c&amp;c)</t>
  </si>
  <si>
    <t xml:space="preserve">76-104 Nambour Connection Rd </t>
  </si>
  <si>
    <t xml:space="preserve">Woombye </t>
  </si>
  <si>
    <t>jess@coyo.com.au</t>
  </si>
  <si>
    <t>BRAND COLLAB, delivery instructions: bring to office reception, don't leave at letterbox</t>
  </si>
  <si>
    <t>Jess Lamprell, CABN c/o Little City Unley</t>
  </si>
  <si>
    <t>cabn.life</t>
  </si>
  <si>
    <t>5x 80g Samples (deffs incl. Buttermilk)</t>
  </si>
  <si>
    <t>72-76 Edmund Ave</t>
  </si>
  <si>
    <t>Unley</t>
  </si>
  <si>
    <t>karyn@cabn.life</t>
  </si>
  <si>
    <t>ONGOING SAMPLES IN CABINS</t>
  </si>
  <si>
    <t>99712433626301000840901</t>
  </si>
  <si>
    <t>Shannon Smith</t>
  </si>
  <si>
    <t>airlockertraining_runawaybay</t>
  </si>
  <si>
    <t>46 Victor Ave</t>
  </si>
  <si>
    <t>Paradise Point</t>
  </si>
  <si>
    <t>Handing out to class members</t>
  </si>
  <si>
    <t>99712155424801000840901</t>
  </si>
  <si>
    <t xml:space="preserve">Daniel Bellamy </t>
  </si>
  <si>
    <t>bft_noosa</t>
  </si>
  <si>
    <t>5 Commerce Ct</t>
  </si>
  <si>
    <t xml:space="preserve">Noosaville </t>
  </si>
  <si>
    <t>99712339456701000840907</t>
  </si>
  <si>
    <t>Carlo Novak</t>
  </si>
  <si>
    <t>studiopilates_bellerive</t>
  </si>
  <si>
    <t>40x 80g Samples</t>
  </si>
  <si>
    <t>4/25 Cambridge Rd</t>
  </si>
  <si>
    <t xml:space="preserve">Bellerive </t>
  </si>
  <si>
    <t>TAS</t>
  </si>
  <si>
    <t>99712339456801000840904</t>
  </si>
  <si>
    <t xml:space="preserve">ATT: Studio Pilates International </t>
  </si>
  <si>
    <t>studiopilates_essendon</t>
  </si>
  <si>
    <t>35x 80g Samples</t>
  </si>
  <si>
    <t>1089/91 Mt Alexander Rd</t>
  </si>
  <si>
    <t>Ashleigh Hoyle, Ashbern Farms</t>
  </si>
  <si>
    <t>ashbernfarms</t>
  </si>
  <si>
    <t>5x 80g Samples</t>
  </si>
  <si>
    <t>287 Kings Rd</t>
  </si>
  <si>
    <t>Glass House Mountains</t>
  </si>
  <si>
    <t xml:space="preserve">Sarah Beach </t>
  </si>
  <si>
    <t>babybybeach</t>
  </si>
  <si>
    <t>Buttermilk + 3x 80g Samples</t>
  </si>
  <si>
    <t>PO BOX 5606</t>
  </si>
  <si>
    <t xml:space="preserve">Chullora </t>
  </si>
  <si>
    <t xml:space="preserve">Olivia Hampton </t>
  </si>
  <si>
    <t>livhampton__</t>
  </si>
  <si>
    <t xml:space="preserve">40 carawatha Ave </t>
  </si>
  <si>
    <t>Mount nasura</t>
  </si>
  <si>
    <t>Carina Prentice</t>
  </si>
  <si>
    <t>philausgirl</t>
  </si>
  <si>
    <t>Unit 3/38 Rainbow St.</t>
  </si>
  <si>
    <t>Kingsford</t>
  </si>
  <si>
    <t>Mary Coleman</t>
  </si>
  <si>
    <t>itsmarycoleman</t>
  </si>
  <si>
    <t>8-14 Austin Woodbury Place</t>
  </si>
  <si>
    <t>Toongabbie</t>
  </si>
  <si>
    <t>128k followers</t>
  </si>
  <si>
    <t>Margot Sharman</t>
  </si>
  <si>
    <t>feeding.margs</t>
  </si>
  <si>
    <t>8/20 Frederick Street</t>
  </si>
  <si>
    <t>Delivery Note: please leave outside front door if nobody is home</t>
  </si>
  <si>
    <t>Claudia Aiello</t>
  </si>
  <si>
    <t>clean.eating.life</t>
  </si>
  <si>
    <t>15/85 Queenscliff Rd</t>
  </si>
  <si>
    <t>Queenscliff</t>
  </si>
  <si>
    <t xml:space="preserve">Rosa Venzke </t>
  </si>
  <si>
    <t>madebyrrosa</t>
  </si>
  <si>
    <t>7 Pangarinda St</t>
  </si>
  <si>
    <t xml:space="preserve">Bracken Ridge </t>
  </si>
  <si>
    <t xml:space="preserve">Ashlee Shepheard </t>
  </si>
  <si>
    <t>ashlee_shep</t>
  </si>
  <si>
    <t>BEERENBERG GIVEAWAY WINNER</t>
  </si>
  <si>
    <t xml:space="preserve">4/2 Gilbertson road </t>
  </si>
  <si>
    <t>Seacliff Park</t>
  </si>
  <si>
    <t>ATT: Mollie P, GRIT FITNESS</t>
  </si>
  <si>
    <t>gritfitnesstas</t>
  </si>
  <si>
    <t>2x 500g + 20x 80g Samples</t>
  </si>
  <si>
    <t xml:space="preserve">37 Tregear St </t>
  </si>
  <si>
    <t xml:space="preserve">Moonah </t>
  </si>
  <si>
    <t>Sending samples for clients plus 2 bags for giveaway prize winners. Sent logo/marketing material</t>
  </si>
  <si>
    <t>132 Doolbi Dam Road</t>
  </si>
  <si>
    <t>Doolbi</t>
  </si>
  <si>
    <t>Ellie Rose Mudge</t>
  </si>
  <si>
    <t>elliemudgee</t>
  </si>
  <si>
    <t>73 Blue Bell Dr</t>
  </si>
  <si>
    <t>Wamberal</t>
  </si>
  <si>
    <t>Gabriela Salant</t>
  </si>
  <si>
    <t>nutrition.with.g</t>
  </si>
  <si>
    <t>313/1242 glen Huntly Road</t>
  </si>
  <si>
    <t>Carnegie</t>
  </si>
  <si>
    <t>Isley Green</t>
  </si>
  <si>
    <t>balancedbitesdelight</t>
  </si>
  <si>
    <t>14 Geordie Rise</t>
  </si>
  <si>
    <t>Sorrento</t>
  </si>
  <si>
    <t>Rachel McKenzie</t>
  </si>
  <si>
    <t>recipesbyrachie</t>
  </si>
  <si>
    <t>5/22 Attewell Street</t>
  </si>
  <si>
    <t>Nundah</t>
  </si>
  <si>
    <t>Emily Mazzitelli</t>
  </si>
  <si>
    <t>mazzfit</t>
  </si>
  <si>
    <t>7 Coolabah Crescent</t>
  </si>
  <si>
    <t xml:space="preserve">Forestville </t>
  </si>
  <si>
    <t>MAZZ10 discount code</t>
  </si>
  <si>
    <t xml:space="preserve">Zoe Marsland </t>
  </si>
  <si>
    <t>prettysureimzoe</t>
  </si>
  <si>
    <t>3/180 Hawdon St</t>
  </si>
  <si>
    <t xml:space="preserve">Heidelberg </t>
  </si>
  <si>
    <t>DID INFLUENCER UPDATE Jan 17 - April 17, 2024 to here</t>
  </si>
  <si>
    <t>Maddy Cornford</t>
  </si>
  <si>
    <t>maddycornford</t>
  </si>
  <si>
    <t>3 Conroy Pl</t>
  </si>
  <si>
    <t>Roxburgh Park</t>
  </si>
  <si>
    <t>ATT: F45 Woodville</t>
  </si>
  <si>
    <t>f45_training_woodville</t>
  </si>
  <si>
    <t xml:space="preserve">10 Baker St </t>
  </si>
  <si>
    <t>Great success collab, will send more in future</t>
  </si>
  <si>
    <t>Lee Dias</t>
  </si>
  <si>
    <t>feeding_five_frugally</t>
  </si>
  <si>
    <t>2x 500g (buttermilk &amp; C&amp;C)</t>
  </si>
  <si>
    <t>25 Gerongar Cres</t>
  </si>
  <si>
    <t>Haywards Bay</t>
  </si>
  <si>
    <t>Sarah Malkoun</t>
  </si>
  <si>
    <t>livingwellwithsez</t>
  </si>
  <si>
    <t>110 Mickleham Road</t>
  </si>
  <si>
    <t xml:space="preserve">Tullamarine </t>
  </si>
  <si>
    <t>Hannah Clare</t>
  </si>
  <si>
    <t>hannahhclare</t>
  </si>
  <si>
    <t>162 Burraneer Bay Road</t>
  </si>
  <si>
    <t>Burraneer</t>
  </si>
  <si>
    <t>121k followers</t>
  </si>
  <si>
    <t>Marina Matejcek</t>
  </si>
  <si>
    <t>themacrofoodblogger</t>
  </si>
  <si>
    <t>Cokies &amp; Cream</t>
  </si>
  <si>
    <t xml:space="preserve">34a Thompson Road </t>
  </si>
  <si>
    <t>North Geelong</t>
  </si>
  <si>
    <t>Holly Quinlan</t>
  </si>
  <si>
    <t>hollyquinlan.nutrition</t>
  </si>
  <si>
    <t>4/19 Minnie Streer</t>
  </si>
  <si>
    <t>UGC Creator</t>
  </si>
  <si>
    <t>Monique Biedrzycka</t>
  </si>
  <si>
    <t>pilateswithmonique</t>
  </si>
  <si>
    <t>PO Box 1545</t>
  </si>
  <si>
    <t xml:space="preserve">North Lakes </t>
  </si>
  <si>
    <t>Sent her an existing reel of hers we'd like her to replicate with TPP</t>
  </si>
  <si>
    <t xml:space="preserve">170 sixth ave </t>
  </si>
  <si>
    <t xml:space="preserve">Llandilo </t>
  </si>
  <si>
    <t>Lara Cagan</t>
  </si>
  <si>
    <t>health.with.lara</t>
  </si>
  <si>
    <t>20 waxflower st</t>
  </si>
  <si>
    <t>Denham court</t>
  </si>
  <si>
    <t>Marnie Sampson</t>
  </si>
  <si>
    <t>contentwith.marniee</t>
  </si>
  <si>
    <t>Sent me UGC</t>
  </si>
  <si>
    <t>26 Swallow Loop</t>
  </si>
  <si>
    <t>High Wycombe</t>
  </si>
  <si>
    <t>Nicole Ward</t>
  </si>
  <si>
    <t>nickyward86</t>
  </si>
  <si>
    <t>24 Malvern St</t>
  </si>
  <si>
    <t>Salisbury</t>
  </si>
  <si>
    <t xml:space="preserve">Logan Wein </t>
  </si>
  <si>
    <t>logan_wein</t>
  </si>
  <si>
    <t>2107/117 Bathurst St</t>
  </si>
  <si>
    <t>Sydney</t>
  </si>
  <si>
    <t>Amanda Whittaker</t>
  </si>
  <si>
    <t>f45_training_brightonsa</t>
  </si>
  <si>
    <t>30 Alfonso Drive</t>
  </si>
  <si>
    <t xml:space="preserve">Hallett Cove </t>
  </si>
  <si>
    <t>Did cool stories of all members holding packet. Also posted reel (said she'll order big bag for herself)</t>
  </si>
  <si>
    <t xml:space="preserve">Jamie Richards </t>
  </si>
  <si>
    <t>f45_training_chatswood</t>
  </si>
  <si>
    <t>608/10 Brown Street</t>
  </si>
  <si>
    <t>Chatswood</t>
  </si>
  <si>
    <t>Posted stories of members grabbing samples. Happy to receive more in future</t>
  </si>
  <si>
    <t>Machaela Dwyer</t>
  </si>
  <si>
    <t>hustle_st_hawthorn</t>
  </si>
  <si>
    <t>51 Nicholson St</t>
  </si>
  <si>
    <t>Nunawading</t>
  </si>
  <si>
    <t>Sent imagery to promote with DC mdwyer@hustlestreet.com.au</t>
  </si>
  <si>
    <t>Diana Clark</t>
  </si>
  <si>
    <t xml:space="preserve">fuelwithdee </t>
  </si>
  <si>
    <t>3x 500g bags &amp; pan</t>
  </si>
  <si>
    <t>Parcel Locker 10139 86583 Cockburn Gateway Shopping Centre Shop 22 816 Beeliar Dr</t>
  </si>
  <si>
    <t>334k followers</t>
  </si>
  <si>
    <t>5 Atlas Place</t>
  </si>
  <si>
    <t>Winston Hills</t>
  </si>
  <si>
    <t>2A 80 Bellevue</t>
  </si>
  <si>
    <t>Gaythorne</t>
  </si>
  <si>
    <t>141k followers. Made amazing quality movie-trailer like reel. Will do collaborative post</t>
  </si>
  <si>
    <t xml:space="preserve">Sarah Amoahene </t>
  </si>
  <si>
    <t>seztrains</t>
  </si>
  <si>
    <t>21 Plough Street</t>
  </si>
  <si>
    <t>Austral</t>
  </si>
  <si>
    <t xml:space="preserve">Danielle Daish </t>
  </si>
  <si>
    <t>danidaish_fit</t>
  </si>
  <si>
    <t>PO Box 766</t>
  </si>
  <si>
    <t>Murray Bridge</t>
  </si>
  <si>
    <t>Klara Dvorakova</t>
  </si>
  <si>
    <t>klarad.ugc</t>
  </si>
  <si>
    <t>7/60 Landers Road</t>
  </si>
  <si>
    <t>Lane Cove</t>
  </si>
  <si>
    <t>UGC Creator - created below avg UGC for us</t>
  </si>
  <si>
    <t>Leah Wiatkowski</t>
  </si>
  <si>
    <t>leahsapron</t>
  </si>
  <si>
    <t>Unit 19/24 Flinders St</t>
  </si>
  <si>
    <t xml:space="preserve">North Wollongong </t>
  </si>
  <si>
    <t xml:space="preserve">Sian Jessie Gregson </t>
  </si>
  <si>
    <t>siansplate</t>
  </si>
  <si>
    <t xml:space="preserve">22/1 Moondine Dr </t>
  </si>
  <si>
    <t>Wembley</t>
  </si>
  <si>
    <t>Ashlea McCallum</t>
  </si>
  <si>
    <t>healthbyashlea</t>
  </si>
  <si>
    <t>46B Anstey Crescent</t>
  </si>
  <si>
    <t>Marleston</t>
  </si>
  <si>
    <t>Joanna Wietrzyk</t>
  </si>
  <si>
    <t>ugcwithjoeyy</t>
  </si>
  <si>
    <t xml:space="preserve">13 Roberts Street </t>
  </si>
  <si>
    <t>Ferntree Gully</t>
  </si>
  <si>
    <t>UGC Creator - talking over email. asked her to re-create protein pancake bowl. https://www.instagram.com/reel/C3LPwbvL2BC/?utm_source=ig_web_copy_link&amp;igsh=MzRlODBiNWFlZA==</t>
  </si>
  <si>
    <t xml:space="preserve">Nicola Toumazos  </t>
  </si>
  <si>
    <t>nicolatoumazos</t>
  </si>
  <si>
    <t>50 Pringle Avenue</t>
  </si>
  <si>
    <t>Belrose</t>
  </si>
  <si>
    <t>Bronte Holding</t>
  </si>
  <si>
    <t xml:space="preserve">bronte_pt </t>
  </si>
  <si>
    <t>6/35 Baird Avenue</t>
  </si>
  <si>
    <t>Matraville</t>
  </si>
  <si>
    <t>Sophie Cook</t>
  </si>
  <si>
    <t>balancewithsoph_</t>
  </si>
  <si>
    <t>21 Curtin Avenue</t>
  </si>
  <si>
    <t>North Wahroonga</t>
  </si>
  <si>
    <t>Summer Wilson</t>
  </si>
  <si>
    <t>summer.wilsson</t>
  </si>
  <si>
    <t>6 Robertson drive</t>
  </si>
  <si>
    <t>Mornington</t>
  </si>
  <si>
    <t xml:space="preserve">Josie Marsden </t>
  </si>
  <si>
    <t>josiesflexiblefoods</t>
  </si>
  <si>
    <t>4 Dhaya Street</t>
  </si>
  <si>
    <t>Grantham Farm</t>
  </si>
  <si>
    <t>Brielle Howlett</t>
  </si>
  <si>
    <t>balancewithbrielle_</t>
  </si>
  <si>
    <t>11 York Close</t>
  </si>
  <si>
    <t>Yowie Bay</t>
  </si>
  <si>
    <t xml:space="preserve">Kayla Douglas </t>
  </si>
  <si>
    <t>kaylaafitt_</t>
  </si>
  <si>
    <t>1/53 Persea Ave</t>
  </si>
  <si>
    <t xml:space="preserve">Riverstone </t>
  </si>
  <si>
    <t xml:space="preserve">Paige Fleming </t>
  </si>
  <si>
    <t>P.O. Box 107</t>
  </si>
  <si>
    <t>Cronulla</t>
  </si>
  <si>
    <t>Anneliese O’Farrell</t>
  </si>
  <si>
    <t>annieactive</t>
  </si>
  <si>
    <t>32a Stephanie street</t>
  </si>
  <si>
    <t>Padstow</t>
  </si>
  <si>
    <t>Alexia Abouhamad</t>
  </si>
  <si>
    <t>lex1fit</t>
  </si>
  <si>
    <t>5 Lance crescent</t>
  </si>
  <si>
    <t xml:space="preserve">Greystanes </t>
  </si>
  <si>
    <t xml:space="preserve">Emma Redman </t>
  </si>
  <si>
    <t>emmarredmann</t>
  </si>
  <si>
    <t>17 Russell Road</t>
  </si>
  <si>
    <t>Mount Barker</t>
  </si>
  <si>
    <t>Jessica Olliver</t>
  </si>
  <si>
    <t>jessolliverfitness</t>
  </si>
  <si>
    <t>PO BOX 524</t>
  </si>
  <si>
    <t>Cherrybrook</t>
  </si>
  <si>
    <t>Veronica Gershon</t>
  </si>
  <si>
    <t>seasonplates</t>
  </si>
  <si>
    <t>8 Deauville St</t>
  </si>
  <si>
    <t>Beaumaris</t>
  </si>
  <si>
    <t xml:space="preserve">Jess Sandberg </t>
  </si>
  <si>
    <t>fitandco.byjess</t>
  </si>
  <si>
    <t>3 greenvale st</t>
  </si>
  <si>
    <t>Fisher</t>
  </si>
  <si>
    <t>Wanting Zhao</t>
  </si>
  <si>
    <t>ez.test.kitchen</t>
  </si>
  <si>
    <t>Parcel Locker 10272 24895  Shop 21G 1-21 Bay Street</t>
  </si>
  <si>
    <t>Glebe</t>
  </si>
  <si>
    <t>Takes high res pics - said to do so if they like the product but no expectation</t>
  </si>
  <si>
    <t>Brea Driscoll</t>
  </si>
  <si>
    <t>breas_nutrition</t>
  </si>
  <si>
    <t>12 Sheppard Road</t>
  </si>
  <si>
    <t>Emu Plains</t>
  </si>
  <si>
    <t>Chloë Brooker</t>
  </si>
  <si>
    <t>chloe_brookerr</t>
  </si>
  <si>
    <t xml:space="preserve">4 Stornoway drive </t>
  </si>
  <si>
    <t>Baxter</t>
  </si>
  <si>
    <t xml:space="preserve">Nikki Auckland </t>
  </si>
  <si>
    <t>nikkiauckland</t>
  </si>
  <si>
    <t xml:space="preserve">45 Hawthorne Circuit </t>
  </si>
  <si>
    <t>Harrington Park</t>
  </si>
  <si>
    <t>Bridgette Cullen</t>
  </si>
  <si>
    <t>makeitmacro_</t>
  </si>
  <si>
    <t>11 Rodley Street</t>
  </si>
  <si>
    <t xml:space="preserve">Bonny Hills </t>
  </si>
  <si>
    <t xml:space="preserve">Maddy Hall </t>
  </si>
  <si>
    <t>madsdietitian</t>
  </si>
  <si>
    <t>PO Box 246</t>
  </si>
  <si>
    <t>Hervey Bay</t>
  </si>
  <si>
    <t>Existing influencer Luke previously sent to</t>
  </si>
  <si>
    <t>Abbey Richards</t>
  </si>
  <si>
    <t>abbeyleerichards_</t>
  </si>
  <si>
    <t>39 Powell street</t>
  </si>
  <si>
    <t>Berri</t>
  </si>
  <si>
    <t>Madison Robins</t>
  </si>
  <si>
    <t>coachdbymads</t>
  </si>
  <si>
    <t>29 Bathurst St</t>
  </si>
  <si>
    <t xml:space="preserve">Condobolin </t>
  </si>
  <si>
    <t>Blake Redman</t>
  </si>
  <si>
    <t>blakeejredman</t>
  </si>
  <si>
    <t>Tanisha Brouwer</t>
  </si>
  <si>
    <t>nourishwithtan</t>
  </si>
  <si>
    <t>54 Ruby Street</t>
  </si>
  <si>
    <t>North Perth</t>
  </si>
  <si>
    <t>208k followers</t>
  </si>
  <si>
    <t xml:space="preserve">Natalia Gregorio </t>
  </si>
  <si>
    <t xml:space="preserve">_nourishwithnat </t>
  </si>
  <si>
    <t>66 Hopewood crescent</t>
  </si>
  <si>
    <t>Fairy Meadow</t>
  </si>
  <si>
    <t xml:space="preserve">balance.with.brooke </t>
  </si>
  <si>
    <t>21 dawn parade</t>
  </si>
  <si>
    <t>Miami</t>
  </si>
  <si>
    <t>Luke previously sent her product</t>
  </si>
  <si>
    <t>Jesikah Ings</t>
  </si>
  <si>
    <t>thenourishedpt</t>
  </si>
  <si>
    <t>8-28 Chinook Street</t>
  </si>
  <si>
    <t>Everton Hills</t>
  </si>
  <si>
    <t xml:space="preserve">Holly Savill </t>
  </si>
  <si>
    <t>performance_dietitian</t>
  </si>
  <si>
    <t>1/18 Leyte Ave</t>
  </si>
  <si>
    <t>Palm Beach</t>
  </si>
  <si>
    <t>Tasmyn Louise Sutton</t>
  </si>
  <si>
    <t>coachedbytaz</t>
  </si>
  <si>
    <t>2/8 Ilya street</t>
  </si>
  <si>
    <t xml:space="preserve">Currimundi </t>
  </si>
  <si>
    <t>Owns new gym @tenacity_sc can potentially send samples to members. Initially sending to her.</t>
  </si>
  <si>
    <t>Katelyn Lowther</t>
  </si>
  <si>
    <t>healthyhabitsbykatie</t>
  </si>
  <si>
    <t>15 Nautilus Avenue</t>
  </si>
  <si>
    <t>Mulambin</t>
  </si>
  <si>
    <t>Ricky Calder</t>
  </si>
  <si>
    <t>coach_rickycalder</t>
  </si>
  <si>
    <t>29/5 Clancy court</t>
  </si>
  <si>
    <t>Tugun</t>
  </si>
  <si>
    <t>Followed up from this red line to the next, twice</t>
  </si>
  <si>
    <t>Ally Smith</t>
  </si>
  <si>
    <t>ally.dietitian</t>
  </si>
  <si>
    <t>7 Morrison Road</t>
  </si>
  <si>
    <t>Clayfield</t>
  </si>
  <si>
    <t>Bec Gibbs</t>
  </si>
  <si>
    <t>becgibbs.fitness</t>
  </si>
  <si>
    <t>28 River Gum Close</t>
  </si>
  <si>
    <t>Diamond Creek</t>
  </si>
  <si>
    <t>Marissa Richard</t>
  </si>
  <si>
    <t>marissamc_</t>
  </si>
  <si>
    <t>112 buderim avenue</t>
  </si>
  <si>
    <t>Alexandra headlands</t>
  </si>
  <si>
    <t>Already worked with her, sending more for more content</t>
  </si>
  <si>
    <r>
      <rPr>
        <rFont val="Arial"/>
        <color theme="1"/>
        <sz val="10.0"/>
      </rPr>
      <t xml:space="preserve">Sienna Harben </t>
    </r>
    <r>
      <rPr>
        <rFont val="Arial"/>
        <b/>
        <color theme="1"/>
        <sz val="10.0"/>
      </rPr>
      <t>(RTS)</t>
    </r>
  </si>
  <si>
    <t>U16/249 Ashmore Road</t>
  </si>
  <si>
    <t xml:space="preserve">Benowa </t>
  </si>
  <si>
    <r>
      <rPr>
        <rFont val="Arial"/>
        <color theme="1"/>
      </rPr>
      <t xml:space="preserve">Chloe Dew </t>
    </r>
    <r>
      <rPr>
        <rFont val="Arial"/>
        <b/>
        <color theme="1"/>
      </rPr>
      <t>(RTS)</t>
    </r>
  </si>
  <si>
    <t>Ellie Mccallum</t>
  </si>
  <si>
    <t>ellieemccallum</t>
  </si>
  <si>
    <t>39 Tuileries Rise</t>
  </si>
  <si>
    <t>Narre Warren south</t>
  </si>
  <si>
    <t>Mia Palmer</t>
  </si>
  <si>
    <t>pilateswithmia__</t>
  </si>
  <si>
    <t>15 Pentland Drive</t>
  </si>
  <si>
    <t xml:space="preserve">Narre Warren </t>
  </si>
  <si>
    <t>Sending for second time, for UGC (voice-overs)</t>
  </si>
  <si>
    <t>Alex Lyons</t>
  </si>
  <si>
    <t>the.lyons.life</t>
  </si>
  <si>
    <t>516 Connection Rd</t>
  </si>
  <si>
    <t>Mooloolah valley</t>
  </si>
  <si>
    <t>Replied and said "You’ve done well! A solid product with no funky aftertaste" but didn't post anything</t>
  </si>
  <si>
    <t>Samantha Gilmore</t>
  </si>
  <si>
    <t>wearethegilmores</t>
  </si>
  <si>
    <t>240 Tilsbury lane</t>
  </si>
  <si>
    <t xml:space="preserve">Oberon </t>
  </si>
  <si>
    <t>Luke previously sent her pancakes</t>
  </si>
  <si>
    <t xml:space="preserve">Gracie Porter </t>
  </si>
  <si>
    <t>gracieporter</t>
  </si>
  <si>
    <t>136/390 Simpsons Road</t>
  </si>
  <si>
    <t>Bardon</t>
  </si>
  <si>
    <t>gracieporter1@gmail.com</t>
  </si>
  <si>
    <t xml:space="preserve">Emily Hardwick </t>
  </si>
  <si>
    <t xml:space="preserve">emilyjulia </t>
  </si>
  <si>
    <t xml:space="preserve">24 Pintail circuit </t>
  </si>
  <si>
    <t>Deebing Heights</t>
  </si>
  <si>
    <t>Mikaela Kemister</t>
  </si>
  <si>
    <t>mikaela_kemister</t>
  </si>
  <si>
    <t>2/4 Woollahra Court</t>
  </si>
  <si>
    <t>Varsity Lakes</t>
  </si>
  <si>
    <t>Crystal Spanidis</t>
  </si>
  <si>
    <t>crystalspanidis</t>
  </si>
  <si>
    <t>2/112 Regatta Circuit</t>
  </si>
  <si>
    <t xml:space="preserve">Burpengary </t>
  </si>
  <si>
    <t>Posted reel on @coachedbycrystal</t>
  </si>
  <si>
    <t>Aliza Hoffman</t>
  </si>
  <si>
    <t xml:space="preserve">lizahoffman__ </t>
  </si>
  <si>
    <t>Unit 8/57 Cowell Drive</t>
  </si>
  <si>
    <t>Burleigh Heads</t>
  </si>
  <si>
    <t xml:space="preserve">Jade Rogulj </t>
  </si>
  <si>
    <t>jroguljnutrition</t>
  </si>
  <si>
    <t>12 William St</t>
  </si>
  <si>
    <t>Henley</t>
  </si>
  <si>
    <t>Rosie Mcgregor</t>
  </si>
  <si>
    <t>rosie_mcgregor</t>
  </si>
  <si>
    <t>1/240 Wellington Road</t>
  </si>
  <si>
    <t>East Brisbane</t>
  </si>
  <si>
    <t>Kaylah Williams</t>
  </si>
  <si>
    <t>kkaylahwilliams</t>
  </si>
  <si>
    <t>12 Hayes St</t>
  </si>
  <si>
    <t>North Ward</t>
  </si>
  <si>
    <t xml:space="preserve">Katie Marendy </t>
  </si>
  <si>
    <t>katiejanee</t>
  </si>
  <si>
    <t>1/3 tamarin court</t>
  </si>
  <si>
    <t>Dakabin</t>
  </si>
  <si>
    <t xml:space="preserve">Charli May Hall </t>
  </si>
  <si>
    <t>charlihall__</t>
  </si>
  <si>
    <t>11 links Avenue</t>
  </si>
  <si>
    <t>Cessnock</t>
  </si>
  <si>
    <t xml:space="preserve">Taylah Harkness </t>
  </si>
  <si>
    <t>taylahharkness</t>
  </si>
  <si>
    <t>6/93 Stanley Street</t>
  </si>
  <si>
    <t xml:space="preserve">Brendale </t>
  </si>
  <si>
    <t>Hannah Doré</t>
  </si>
  <si>
    <t>hannahhdore</t>
  </si>
  <si>
    <t>82/1914 Creek Road</t>
  </si>
  <si>
    <t>Cannon Hill</t>
  </si>
  <si>
    <t>Did good UGC video, sending again for more content</t>
  </si>
  <si>
    <t>Jenny Nguyen</t>
  </si>
  <si>
    <t>feedswithjen</t>
  </si>
  <si>
    <t>Shop 2/162-170 Athol Rd</t>
  </si>
  <si>
    <t>Springvale South</t>
  </si>
  <si>
    <t>Mia Kukura</t>
  </si>
  <si>
    <t>miakukuraa</t>
  </si>
  <si>
    <t>30 Halloran Ave</t>
  </si>
  <si>
    <t xml:space="preserve">Davidson </t>
  </si>
  <si>
    <t xml:space="preserve">Ellie Fleming </t>
  </si>
  <si>
    <t>ellie.fleming</t>
  </si>
  <si>
    <t>Unit 40, 6/10 Owen street</t>
  </si>
  <si>
    <t xml:space="preserve">Mittagong </t>
  </si>
  <si>
    <t xml:space="preserve">Biancha Swile </t>
  </si>
  <si>
    <t>buildwith.biancha</t>
  </si>
  <si>
    <t>2x 500g</t>
  </si>
  <si>
    <t>9 Ritz Drive</t>
  </si>
  <si>
    <t>Coomera</t>
  </si>
  <si>
    <t>Sent 2x express for an event on Sat 27/07</t>
  </si>
  <si>
    <t>Gemmah Weston (paid content)</t>
  </si>
  <si>
    <t>7 Tanami Court</t>
  </si>
  <si>
    <t>Narre Warren South</t>
  </si>
  <si>
    <t>Creating content 3 videos for $50 each - sent her inspo</t>
  </si>
  <si>
    <t>Georgia Wendt</t>
  </si>
  <si>
    <t>georgia.wendt.nutrition</t>
  </si>
  <si>
    <t>101/17 honeysuckle drive</t>
  </si>
  <si>
    <t>Luke perviously sent her pancakes</t>
  </si>
  <si>
    <t xml:space="preserve">Millie Padula </t>
  </si>
  <si>
    <t>dietitianedition</t>
  </si>
  <si>
    <t>33 Inala Street</t>
  </si>
  <si>
    <t>Rye</t>
  </si>
  <si>
    <t>Cassidy Spotkaeff</t>
  </si>
  <si>
    <t>talking over email (UGC)</t>
  </si>
  <si>
    <t xml:space="preserve">3 Arundel Court </t>
  </si>
  <si>
    <t xml:space="preserve">Mulgrave </t>
  </si>
  <si>
    <t>cassidyugcc@gmail.com</t>
  </si>
  <si>
    <t>UGC Creator. will create a UGC for us</t>
  </si>
  <si>
    <t xml:space="preserve">Jessica Vranes </t>
  </si>
  <si>
    <t>wellnessbyjesslee</t>
  </si>
  <si>
    <t>2/22 Ulm street</t>
  </si>
  <si>
    <t xml:space="preserve">Laverton </t>
  </si>
  <si>
    <t xml:space="preserve">Georgina Blackman </t>
  </si>
  <si>
    <t>gblack.__</t>
  </si>
  <si>
    <t>6/18 Tomewin St</t>
  </si>
  <si>
    <t xml:space="preserve">Currumbin </t>
  </si>
  <si>
    <t xml:space="preserve">Georgie Conway </t>
  </si>
  <si>
    <t>gee.conway</t>
  </si>
  <si>
    <t>1/34 Churchill Circuit</t>
  </si>
  <si>
    <t>Hamilton South</t>
  </si>
  <si>
    <t xml:space="preserve">Jasmine Viti </t>
  </si>
  <si>
    <t xml:space="preserve">cocojasmineviti </t>
  </si>
  <si>
    <t>12 wickerson crescent</t>
  </si>
  <si>
    <t>Bli Bli</t>
  </si>
  <si>
    <t>Chloe Myers</t>
  </si>
  <si>
    <t xml:space="preserve">chloeemyeers </t>
  </si>
  <si>
    <t>103a rawson street</t>
  </si>
  <si>
    <t>Kurri Kurri</t>
  </si>
  <si>
    <t>Laura Hyma</t>
  </si>
  <si>
    <t>laurabrookedietitian</t>
  </si>
  <si>
    <t>15 Redmond St</t>
  </si>
  <si>
    <t>Salter Point</t>
  </si>
  <si>
    <t>Sienna Miller</t>
  </si>
  <si>
    <t>sienna_miller__</t>
  </si>
  <si>
    <t>135 first street</t>
  </si>
  <si>
    <t xml:space="preserve">Boolaroo </t>
  </si>
  <si>
    <t>Made great content twice with first bag. Sending to her for a second time</t>
  </si>
  <si>
    <t>Lily Baker</t>
  </si>
  <si>
    <t>lilyshealthblog</t>
  </si>
  <si>
    <t>25 Heffron Road</t>
  </si>
  <si>
    <t>Lalor Park</t>
  </si>
  <si>
    <t>Faye Protacio</t>
  </si>
  <si>
    <t xml:space="preserve">soeuramari </t>
  </si>
  <si>
    <t>22 Partridge Ave</t>
  </si>
  <si>
    <t>Miranda</t>
  </si>
  <si>
    <t>291k followers</t>
  </si>
  <si>
    <t>Chloe Daly</t>
  </si>
  <si>
    <t>chloeddals_</t>
  </si>
  <si>
    <t>161 eudlo flats road</t>
  </si>
  <si>
    <t xml:space="preserve">Diddillibah </t>
  </si>
  <si>
    <t>141k followers. Sending as a thank you for aesthetic reel posted</t>
  </si>
  <si>
    <t xml:space="preserve">thewholesomeeffect </t>
  </si>
  <si>
    <t>28 The Scenic Road</t>
  </si>
  <si>
    <t>Mia Muir</t>
  </si>
  <si>
    <t>aimfitness__</t>
  </si>
  <si>
    <t>11 Downton st</t>
  </si>
  <si>
    <t xml:space="preserve">Warragul </t>
  </si>
  <si>
    <t xml:space="preserve">Sophie Gunn </t>
  </si>
  <si>
    <t>sophiegunnn</t>
  </si>
  <si>
    <t>29 Evergreen View</t>
  </si>
  <si>
    <t>Robina</t>
  </si>
  <si>
    <t>Ella Hayes</t>
  </si>
  <si>
    <t>liftwithella</t>
  </si>
  <si>
    <t>3 Cordata Court</t>
  </si>
  <si>
    <t>Stories only</t>
  </si>
  <si>
    <t>Kristin Nell</t>
  </si>
  <si>
    <t>kristinnnell</t>
  </si>
  <si>
    <t>9 Kotara Place</t>
  </si>
  <si>
    <t xml:space="preserve">Miranda </t>
  </si>
  <si>
    <t xml:space="preserve">Bri Bradfield </t>
  </si>
  <si>
    <t>bri.bradfield</t>
  </si>
  <si>
    <t>23/30 Careel Close</t>
  </si>
  <si>
    <t>Helensvale</t>
  </si>
  <si>
    <t>Samantha Bailey</t>
  </si>
  <si>
    <t>sammyybaileyy</t>
  </si>
  <si>
    <t>12 Gawler Street</t>
  </si>
  <si>
    <t>Rochedale South</t>
  </si>
  <si>
    <t>Lauren Mattick</t>
  </si>
  <si>
    <t>lauren.mfit</t>
  </si>
  <si>
    <t>307/8 masters street</t>
  </si>
  <si>
    <t>Newstead</t>
  </si>
  <si>
    <t xml:space="preserve">Lucy Klein </t>
  </si>
  <si>
    <t>kxpilatessubiaco</t>
  </si>
  <si>
    <t>1/29 Woolnough Street</t>
  </si>
  <si>
    <t xml:space="preserve">Daglish </t>
  </si>
  <si>
    <t>Has an event mid Aug to celebrate having her KX store for 1 year</t>
  </si>
  <si>
    <t>Natasha Salanitri</t>
  </si>
  <si>
    <t>bft_bundall</t>
  </si>
  <si>
    <t>15x 80g Samples</t>
  </si>
  <si>
    <t>2 Barden Ridge Rd</t>
  </si>
  <si>
    <t>Reedy Creek</t>
  </si>
  <si>
    <t>Megan McCartney</t>
  </si>
  <si>
    <t>worldgympenrith</t>
  </si>
  <si>
    <t>World Gym Penrith, 6 Peach Tree Road</t>
  </si>
  <si>
    <t>Penrith</t>
  </si>
  <si>
    <t>Sending wholesale info via email to Meganas well</t>
  </si>
  <si>
    <t>Martina Navarro</t>
  </si>
  <si>
    <t>crunchfitnessau</t>
  </si>
  <si>
    <t>Crunch Fitness, Level 4, Building 1, 93 O’Riordan Street</t>
  </si>
  <si>
    <t xml:space="preserve">Alexandria </t>
  </si>
  <si>
    <t>Sending samples to all head office employees, collaborating with their gyms</t>
  </si>
  <si>
    <t xml:space="preserve">Sarah Robson </t>
  </si>
  <si>
    <t>sarahroserobson_</t>
  </si>
  <si>
    <t>1x 500g Buttermilk + 20x 80g samples (mixed flavours)</t>
  </si>
  <si>
    <t xml:space="preserve">51/15 Lakeside Crescent </t>
  </si>
  <si>
    <t>Mango Hill</t>
  </si>
  <si>
    <t>Owns a F45. Sending to her and samples for memebrs</t>
  </si>
  <si>
    <t>Alexandra Allan</t>
  </si>
  <si>
    <t>alex.allan_</t>
  </si>
  <si>
    <t>The sample stack (5x 80g)</t>
  </si>
  <si>
    <t>94 Birriga Rd, unit 7</t>
  </si>
  <si>
    <t xml:space="preserve">Bellevue Hill </t>
  </si>
  <si>
    <t>Brodie Pike</t>
  </si>
  <si>
    <t xml:space="preserve">brodiepike </t>
  </si>
  <si>
    <t>9 Brushbox Cct</t>
  </si>
  <si>
    <t>Twin Waters</t>
  </si>
  <si>
    <t>Anna Leeman</t>
  </si>
  <si>
    <t>anna_leefitness</t>
  </si>
  <si>
    <t>40/9 Delhi street</t>
  </si>
  <si>
    <t>West Perth</t>
  </si>
  <si>
    <t>Madison Ward</t>
  </si>
  <si>
    <t>madiison.kennedy</t>
  </si>
  <si>
    <t>153 baringa drive</t>
  </si>
  <si>
    <t>Baringa</t>
  </si>
  <si>
    <t>Stephanie Renee Baker</t>
  </si>
  <si>
    <t>coachstephanierenee</t>
  </si>
  <si>
    <t>Unit 383 / 3-9 Church Avenue</t>
  </si>
  <si>
    <t>Mascot</t>
  </si>
  <si>
    <t>steph@withinreachcoaching.com.au</t>
  </si>
  <si>
    <t>Tamika Henderson</t>
  </si>
  <si>
    <t>tamikalhenderson</t>
  </si>
  <si>
    <t>Buttermilk + pan</t>
  </si>
  <si>
    <t>4 Rogers St</t>
  </si>
  <si>
    <t>Spring Hill</t>
  </si>
  <si>
    <t>DID INFLUENCER UPDATE April 17 - Sept 17, 2024 to here</t>
  </si>
  <si>
    <t xml:space="preserve">Hannah Farrugia </t>
  </si>
  <si>
    <t>farrugia_hannah</t>
  </si>
  <si>
    <t>65 Transfield Ave</t>
  </si>
  <si>
    <t xml:space="preserve">Edgeworth </t>
  </si>
  <si>
    <t>hannahfarrugia@hotmail.com</t>
  </si>
  <si>
    <t>"Happy to post a story for you guys"</t>
  </si>
  <si>
    <t>Flynn Haggarty</t>
  </si>
  <si>
    <t>flynnhaggarty</t>
  </si>
  <si>
    <t>4/25 Tooke Street</t>
  </si>
  <si>
    <t>Cooks Hill</t>
  </si>
  <si>
    <t>flynnhaggarty@hotmail.com</t>
  </si>
  <si>
    <t xml:space="preserve">Sophie Myers </t>
  </si>
  <si>
    <t>sophmyers_</t>
  </si>
  <si>
    <t>1/165 Park avenue</t>
  </si>
  <si>
    <t>Kotara</t>
  </si>
  <si>
    <t>sophie-myers@hotmail.com</t>
  </si>
  <si>
    <t xml:space="preserve">Ally Spillane </t>
  </si>
  <si>
    <t>nutritionally_ally</t>
  </si>
  <si>
    <t>4/1 Kyle Way</t>
  </si>
  <si>
    <t>Claremont</t>
  </si>
  <si>
    <t>nutritionally.ally@gmail.com</t>
  </si>
  <si>
    <t>bronte.harvey (fitwithbronte)</t>
  </si>
  <si>
    <t xml:space="preserve">harveybronte312@gmail.com </t>
  </si>
  <si>
    <t>Ruby Warren</t>
  </si>
  <si>
    <t>rubytallu1ah</t>
  </si>
  <si>
    <t>38 Chalfont Street</t>
  </si>
  <si>
    <t>rubywarren1999@outlook.com</t>
  </si>
  <si>
    <t>56A broadwater place</t>
  </si>
  <si>
    <t>Blakeview</t>
  </si>
  <si>
    <t>Preciously made content for Luke, started a Drive folder with all her old content, now sending more</t>
  </si>
  <si>
    <t>Aakanksha Gautam</t>
  </si>
  <si>
    <t>aakank_sha_</t>
  </si>
  <si>
    <t>1701/180 City road</t>
  </si>
  <si>
    <t>Southbank</t>
  </si>
  <si>
    <t>gautamakansha96@gmail.com</t>
  </si>
  <si>
    <t>the_20s_club</t>
  </si>
  <si>
    <t>marycoleman.marketing@gmail.com</t>
  </si>
  <si>
    <t>128k followers previously, now 98k followers and changed her IG handle, reached out to us to send her more product for a shoutout</t>
  </si>
  <si>
    <t>Danielle Keily</t>
  </si>
  <si>
    <t>danielle_keily</t>
  </si>
  <si>
    <t>3 Balzan drive</t>
  </si>
  <si>
    <t>rural view</t>
  </si>
  <si>
    <t>danielle.Keily0110@gmail.com</t>
  </si>
  <si>
    <t>Imogen Barrett</t>
  </si>
  <si>
    <t>nourishedbyimogen</t>
  </si>
  <si>
    <t>26 Daintree way</t>
  </si>
  <si>
    <t>Menai</t>
  </si>
  <si>
    <t>imogenbarrett@y7mail.com</t>
  </si>
  <si>
    <t>Sandra gonzalez alvarez</t>
  </si>
  <si>
    <t>wellnesswsandra</t>
  </si>
  <si>
    <t>179 George Street</t>
  </si>
  <si>
    <t>Redfern</t>
  </si>
  <si>
    <t>Wellnesswsandra@gmail.com</t>
  </si>
  <si>
    <t>Marco, sending with no strings attached</t>
  </si>
  <si>
    <t xml:space="preserve">Mikaela Reffold </t>
  </si>
  <si>
    <t>thestrongbodyproject</t>
  </si>
  <si>
    <t>2 Harewood Place</t>
  </si>
  <si>
    <t xml:space="preserve">Warriewood </t>
  </si>
  <si>
    <t>hello@thestrongbodyproject.com.au</t>
  </si>
  <si>
    <t>2x 500g C&amp;C and Buttermilk</t>
  </si>
  <si>
    <t xml:space="preserve">abzsolutefitness01@gmail.com </t>
  </si>
  <si>
    <t>Sending her 2x 500g bags in return for UGC content. Will email her content direction</t>
  </si>
  <si>
    <t>Kayla Koulis</t>
  </si>
  <si>
    <t>kayla_koulis</t>
  </si>
  <si>
    <t xml:space="preserve">92 scenic drive </t>
  </si>
  <si>
    <t>Merewether</t>
  </si>
  <si>
    <t>kaylakoulis1@gmail.com</t>
  </si>
  <si>
    <t xml:space="preserve">Shannon Caldwell </t>
  </si>
  <si>
    <t>shannontcaldwell_fmgpro</t>
  </si>
  <si>
    <t>12 Lillypilly street</t>
  </si>
  <si>
    <t>Bahrs scrub</t>
  </si>
  <si>
    <t>shannontaracaldwell@gmail.com</t>
  </si>
  <si>
    <t>Teegan Sell</t>
  </si>
  <si>
    <t>thedailynourished</t>
  </si>
  <si>
    <t xml:space="preserve">37 Southview Crescent </t>
  </si>
  <si>
    <t xml:space="preserve">Carindale </t>
  </si>
  <si>
    <t>teegan.sell@outlook.com</t>
  </si>
  <si>
    <t>U116 25 Lake Orr Drive</t>
  </si>
  <si>
    <t>emmaclarkenutrition@gmail.com</t>
  </si>
  <si>
    <t>Sending for content, and happy to collab later on for Xmas content too</t>
  </si>
  <si>
    <t>Mikayla Caniglia</t>
  </si>
  <si>
    <t>dietitianmik_</t>
  </si>
  <si>
    <t>45 fairlight avenue</t>
  </si>
  <si>
    <t>dietitianmik@gmail.com</t>
  </si>
  <si>
    <t xml:space="preserve">Kayla Janides </t>
  </si>
  <si>
    <t>63 Alec Ave</t>
  </si>
  <si>
    <t>Sending 1 for story post only</t>
  </si>
  <si>
    <t>Samantha Bray</t>
  </si>
  <si>
    <t>intuitionnutrition_</t>
  </si>
  <si>
    <t>44 Ocean Street</t>
  </si>
  <si>
    <t>Pagewood</t>
  </si>
  <si>
    <t xml:space="preserve">Samantha_bray@outlook.com.au </t>
  </si>
  <si>
    <t>Samantha Wright</t>
  </si>
  <si>
    <t>wrightdietitian</t>
  </si>
  <si>
    <t>U1/19 Hinkler Crescent</t>
  </si>
  <si>
    <t>Fannie Bay</t>
  </si>
  <si>
    <t>NT</t>
  </si>
  <si>
    <t>samantha@wrightdietitian.com.au</t>
  </si>
  <si>
    <t>2x 500g Salted Caramel and Buttermilk</t>
  </si>
  <si>
    <t xml:space="preserve">3 Dorothy CT </t>
  </si>
  <si>
    <t>Clayton South</t>
  </si>
  <si>
    <t>brookescarlett21@gmail.com</t>
  </si>
  <si>
    <t>Sending for content</t>
  </si>
  <si>
    <t xml:space="preserve">Luana Soares Ostling </t>
  </si>
  <si>
    <t>luanaxsoares</t>
  </si>
  <si>
    <t>U10/3 Bellevue Park Rd</t>
  </si>
  <si>
    <t>Bellevue Hill</t>
  </si>
  <si>
    <t>press@luanasoares.com</t>
  </si>
  <si>
    <t>Has 1 million followers on IG 😲</t>
  </si>
  <si>
    <t>Christopher Toll</t>
  </si>
  <si>
    <t>thevegemitechef</t>
  </si>
  <si>
    <t>2x 500g Choc and Buttermilk</t>
  </si>
  <si>
    <t>Parcel Locker 10218 82111, 170-172 Chapel Street</t>
  </si>
  <si>
    <t>St Kilda</t>
  </si>
  <si>
    <t>vegemitechef@gmail.com</t>
  </si>
  <si>
    <t>Sending 2 for UGC voice over humerous scripts for different recipes, he has the ideas</t>
  </si>
  <si>
    <t>Isabella Vitiello</t>
  </si>
  <si>
    <t>glownutrition_bybv</t>
  </si>
  <si>
    <t>5 Coral Avenue</t>
  </si>
  <si>
    <t xml:space="preserve">Beaumaris </t>
  </si>
  <si>
    <t>isabella.vitiello@icloud.com</t>
  </si>
  <si>
    <t>Holly Roycroft</t>
  </si>
  <si>
    <t>hollyshealthcode</t>
  </si>
  <si>
    <t>Unit 3, 283 Nineteenth Ave</t>
  </si>
  <si>
    <t xml:space="preserve">Elanora </t>
  </si>
  <si>
    <t>Hollyshealthcode@gmail.com</t>
  </si>
  <si>
    <t>Ingeborg Løyning</t>
  </si>
  <si>
    <t>ingeborgvloyning</t>
  </si>
  <si>
    <t>9 Ti Tree Road</t>
  </si>
  <si>
    <t xml:space="preserve">Hawthrondene </t>
  </si>
  <si>
    <t>ivloyning@gmail.com</t>
  </si>
  <si>
    <t>Story post only</t>
  </si>
  <si>
    <t xml:space="preserve">Elli Halliday </t>
  </si>
  <si>
    <t>2/1A Palkana Drive</t>
  </si>
  <si>
    <t xml:space="preserve">Warana </t>
  </si>
  <si>
    <t xml:space="preserve">ellihalliday@icloud.com </t>
  </si>
  <si>
    <t>Alisa Voss Creative</t>
  </si>
  <si>
    <t>alisavosscreative</t>
  </si>
  <si>
    <t>Unit 18 / 23 Ocean Drive</t>
  </si>
  <si>
    <t>North Coogee</t>
  </si>
  <si>
    <t>alisavosscreative@gmail.com</t>
  </si>
  <si>
    <t>thatsimpleblog (elisevlogsthat)</t>
  </si>
  <si>
    <t>174 Appel St</t>
  </si>
  <si>
    <t xml:space="preserve">Graceville </t>
  </si>
  <si>
    <t>elisemgordon@gmail.com</t>
  </si>
  <si>
    <t>Creating more content just for us to use. Won't post and doesn't use this insta acc anymore. Full time on @elisevlogsthat</t>
  </si>
  <si>
    <t>Giovanna Vansuit Lopes</t>
  </si>
  <si>
    <t>giovannavansuit</t>
  </si>
  <si>
    <t>17/2 calabro way</t>
  </si>
  <si>
    <t>giovanna.vansuitlopes@gmail.com</t>
  </si>
  <si>
    <t>Kat recommended this influecner to me. Her bf has 1+ million followers, and they usually love what they promote</t>
  </si>
  <si>
    <t>Jess Balfour</t>
  </si>
  <si>
    <t>jvia_nutrition</t>
  </si>
  <si>
    <t>11B/122-126 Old Pittwater Rd</t>
  </si>
  <si>
    <t>Brookvale</t>
  </si>
  <si>
    <t xml:space="preserve">jess@jvia.com.au </t>
  </si>
  <si>
    <t>Mia Parker</t>
  </si>
  <si>
    <t>miaparkerr</t>
  </si>
  <si>
    <t>PO Box 94</t>
  </si>
  <si>
    <t xml:space="preserve">Wilston </t>
  </si>
  <si>
    <t>mia.parkerr@icloud.com</t>
  </si>
  <si>
    <t>Sending 2 bags for UGC content</t>
  </si>
  <si>
    <t>ATT Sharnaya</t>
  </si>
  <si>
    <t>bysharnaya</t>
  </si>
  <si>
    <t>2x 500g Chocolate and Buttermilk</t>
  </si>
  <si>
    <t>4/16 Kelvin Lane</t>
  </si>
  <si>
    <t>ugcbysharnaya@gmail.com</t>
  </si>
  <si>
    <t>lilycorli17@gmail.com</t>
  </si>
  <si>
    <t>Sending for XMAS content</t>
  </si>
  <si>
    <t>sbeldhamcollins@gmail.com</t>
  </si>
  <si>
    <t>10 High Street</t>
  </si>
  <si>
    <t>Barnawartha</t>
  </si>
  <si>
    <t>maddisonrcross@gmail.com</t>
  </si>
  <si>
    <t>Sending for Xmas content</t>
  </si>
  <si>
    <t>gemmahweston@gmail.com</t>
  </si>
  <si>
    <t>jesikah.ings94@gmail.com</t>
  </si>
  <si>
    <t>30x 80g Samples + 1x 500g Buttermilk</t>
  </si>
  <si>
    <t xml:space="preserve">26 Douglas street </t>
  </si>
  <si>
    <t>Okitu, Gisborne</t>
  </si>
  <si>
    <t>NZL</t>
  </si>
  <si>
    <t>30 challenge members + 500g for 1x 8 week challenge winner</t>
  </si>
  <si>
    <t>Jack Witschke</t>
  </si>
  <si>
    <t>nzbodyscans</t>
  </si>
  <si>
    <t xml:space="preserve">3 Barnsley close </t>
  </si>
  <si>
    <t>Bethlehem</t>
  </si>
  <si>
    <t>Tauranga</t>
  </si>
  <si>
    <r>
      <rPr>
        <rFont val="Arial"/>
        <color theme="1"/>
      </rPr>
      <t xml:space="preserve">2002 Scott St, </t>
    </r>
    <r>
      <rPr>
        <rFont val="Arial"/>
        <b/>
        <color theme="1"/>
      </rPr>
      <t>Suite: 2</t>
    </r>
  </si>
  <si>
    <t>Laredo</t>
  </si>
  <si>
    <t>78040-6826</t>
  </si>
  <si>
    <t>(956)7221737</t>
  </si>
  <si>
    <t>Rachel Ying</t>
  </si>
  <si>
    <t>stickswell</t>
  </si>
  <si>
    <t>3000 Blackburn st. Unit 2403</t>
  </si>
  <si>
    <t>Damon Tafatu</t>
  </si>
  <si>
    <t>damont.pt</t>
  </si>
  <si>
    <t>114 Molesworth st</t>
  </si>
  <si>
    <t>Taita, Lower Hutt, Wellington</t>
  </si>
  <si>
    <t>Has a supp store, potential stockist. Followed up in July - he likes them and wants info via email</t>
  </si>
  <si>
    <t>Chrissy West</t>
  </si>
  <si>
    <t>_chrissywest</t>
  </si>
  <si>
    <t>71b Red Beach Road</t>
  </si>
  <si>
    <t>Red Beach</t>
  </si>
  <si>
    <t>Sadie Dewinton-Davies</t>
  </si>
  <si>
    <t>sadiedewintondavies</t>
  </si>
  <si>
    <t>19 kiln street</t>
  </si>
  <si>
    <t>Silverstream, Upperhutt</t>
  </si>
  <si>
    <t>Jemma Petty</t>
  </si>
  <si>
    <t>jemmas_balance</t>
  </si>
  <si>
    <t>35 Muritai Road</t>
  </si>
  <si>
    <t>Parua Bay</t>
  </si>
  <si>
    <t>O174</t>
  </si>
  <si>
    <t>Whangarei</t>
  </si>
  <si>
    <t>Najwa Cagnin</t>
  </si>
  <si>
    <t>homecookingwithnaj</t>
  </si>
  <si>
    <t>Buttermilk &amp; Chocolate</t>
  </si>
  <si>
    <t>20 Biggs Ave Ancaster</t>
  </si>
  <si>
    <t>Ancaster</t>
  </si>
  <si>
    <t>L9K 1R8</t>
  </si>
  <si>
    <t>ON</t>
  </si>
  <si>
    <t>Aish Verma</t>
  </si>
  <si>
    <t>brokefoodie_</t>
  </si>
  <si>
    <t>70 mincing trail</t>
  </si>
  <si>
    <t>Brampton</t>
  </si>
  <si>
    <t>L7a4t2</t>
  </si>
  <si>
    <t>Tajinder Saini</t>
  </si>
  <si>
    <t>better_with_protein</t>
  </si>
  <si>
    <t>52 Skranda Hill</t>
  </si>
  <si>
    <t>L6Y 5G6</t>
  </si>
  <si>
    <t>Takes sick content</t>
  </si>
  <si>
    <t>140 Northcliffe Blvd</t>
  </si>
  <si>
    <t>Toronto</t>
  </si>
  <si>
    <t>M6E 3K6</t>
  </si>
  <si>
    <t>Mobile: 416 625 8258</t>
  </si>
  <si>
    <t>Bianca Fritz</t>
  </si>
  <si>
    <t>biancafritzfitness</t>
  </si>
  <si>
    <t xml:space="preserve">1450 east summit street </t>
  </si>
  <si>
    <t>Kent</t>
  </si>
  <si>
    <t>OH</t>
  </si>
  <si>
    <t>biancarose1597@gmail.com</t>
  </si>
  <si>
    <t>Meredith Munoz</t>
  </si>
  <si>
    <t>mersgoodeats</t>
  </si>
  <si>
    <t>20110 Leithcrest Way</t>
  </si>
  <si>
    <t>Spring</t>
  </si>
  <si>
    <t>Posted amazing Pancake Banana Bread Reel</t>
  </si>
  <si>
    <t>Courtney Ablett</t>
  </si>
  <si>
    <t>lifeofcourta</t>
  </si>
  <si>
    <t>113 Cromwell Road</t>
  </si>
  <si>
    <t>Hertford</t>
  </si>
  <si>
    <t>SG13 7DP</t>
  </si>
  <si>
    <t>Giulia Viava</t>
  </si>
  <si>
    <t>giuliaoceana</t>
  </si>
  <si>
    <t>Pfingstweidstrasse 94</t>
  </si>
  <si>
    <t>Escher Wyss</t>
  </si>
  <si>
    <t>Zurich</t>
  </si>
  <si>
    <t>Switzerland</t>
  </si>
  <si>
    <t>157k followers</t>
  </si>
  <si>
    <t>Corban Metekingi</t>
  </si>
  <si>
    <t>bft_teawamutu</t>
  </si>
  <si>
    <t>88 Roche Street</t>
  </si>
  <si>
    <t>Te Awamutu</t>
  </si>
  <si>
    <t xml:space="preserve">Estelle Baigent </t>
  </si>
  <si>
    <t>bout_fitness_</t>
  </si>
  <si>
    <t xml:space="preserve">24 wawai drive </t>
  </si>
  <si>
    <t xml:space="preserve">Papamoa </t>
  </si>
  <si>
    <t>Abe Dyer, CrossFit NAS</t>
  </si>
  <si>
    <t>crossfit_nas</t>
  </si>
  <si>
    <t xml:space="preserve">1 a Ride Way </t>
  </si>
  <si>
    <t>Rosedale</t>
  </si>
  <si>
    <t>Brendon Leonard, Fitstop</t>
  </si>
  <si>
    <t>fitstop_newplymouth</t>
  </si>
  <si>
    <t xml:space="preserve">7 Marchant Place </t>
  </si>
  <si>
    <t>Westown, New Plymouth</t>
  </si>
  <si>
    <t>Taylor Connell</t>
  </si>
  <si>
    <t>bft_newplymouth</t>
  </si>
  <si>
    <t>38x 80g Samples</t>
  </si>
  <si>
    <t>74 Gill Street</t>
  </si>
  <si>
    <t>Jazmin Te Ngahue</t>
  </si>
  <si>
    <t>_fortitudefsc</t>
  </si>
  <si>
    <t>19 Arthur Street</t>
  </si>
  <si>
    <t>Hawera, Taranaki</t>
  </si>
  <si>
    <t>Good feedback from members. Will order more with their DC for giveaway winners.</t>
  </si>
  <si>
    <t>Kelly Manley</t>
  </si>
  <si>
    <t>strengthnationgym</t>
  </si>
  <si>
    <t>10x 80g Samples</t>
  </si>
  <si>
    <t>65 Nelson Cres</t>
  </si>
  <si>
    <t>Carterton, Wairarapa</t>
  </si>
  <si>
    <t>Crystal Marshall</t>
  </si>
  <si>
    <t>fitzonenz</t>
  </si>
  <si>
    <t>13 Short st</t>
  </si>
  <si>
    <t>Matamata</t>
  </si>
  <si>
    <t>Owner @emma.brooky posted stories on her personal too</t>
  </si>
  <si>
    <t>Fitness Hub c/o Evana Corric</t>
  </si>
  <si>
    <t>fitnesshub_snellsbeach11</t>
  </si>
  <si>
    <t>6 Cornel Circle</t>
  </si>
  <si>
    <t>Snells Beach</t>
  </si>
  <si>
    <t>FITNESSHUB10 d/c</t>
  </si>
  <si>
    <t xml:space="preserve">Gene Va’afusuaga </t>
  </si>
  <si>
    <t>bft__mtwellington</t>
  </si>
  <si>
    <t>163E Marua Road</t>
  </si>
  <si>
    <t>Mount Wellington</t>
  </si>
  <si>
    <t>Connor Moore</t>
  </si>
  <si>
    <t>f45_training_teawamutu</t>
  </si>
  <si>
    <t>451 Mandeno Street</t>
  </si>
  <si>
    <t>25x 80g Samples + 2x 500g</t>
  </si>
  <si>
    <t>Sending for 2nd half of 8 week challenge + big winners. Week 4 of challenge is 17 June</t>
  </si>
  <si>
    <t>Sending to brother. 2nd shipment was really happy with her initial content</t>
  </si>
  <si>
    <t>Julia Tan</t>
  </si>
  <si>
    <t>nomnomwithjaymie</t>
  </si>
  <si>
    <t>26, Jalan Wan Empok</t>
  </si>
  <si>
    <t>Bandar Baru Sri Petaling</t>
  </si>
  <si>
    <t>Kuala Lumpur, Wilayah Persekutuan</t>
  </si>
  <si>
    <t>MY</t>
  </si>
  <si>
    <t>Sent no strings attached, encouraged post if she genuienly likes product</t>
  </si>
  <si>
    <t xml:space="preserve">Savannah Shaw </t>
  </si>
  <si>
    <t>ugcbysav</t>
  </si>
  <si>
    <t>1423N 3830W, APT B304</t>
  </si>
  <si>
    <t>Lehi</t>
  </si>
  <si>
    <t>UT</t>
  </si>
  <si>
    <t>Dana Nario</t>
  </si>
  <si>
    <t>hellolittlefoodies_</t>
  </si>
  <si>
    <t>14112 Delano St. #1</t>
  </si>
  <si>
    <t>Van Nuys</t>
  </si>
  <si>
    <t>California</t>
  </si>
  <si>
    <t>Talking over email. dcn.collab@gmail.com</t>
  </si>
  <si>
    <t>Claudia Rowse</t>
  </si>
  <si>
    <t>claudia.rowse</t>
  </si>
  <si>
    <t xml:space="preserve">53 Acacia Avenue </t>
  </si>
  <si>
    <t xml:space="preserve">Upper Riccarton </t>
  </si>
  <si>
    <t>Christchurch</t>
  </si>
  <si>
    <t>Will create content for us. Talking over email</t>
  </si>
  <si>
    <t>Jessica McMahon</t>
  </si>
  <si>
    <t>talking over email</t>
  </si>
  <si>
    <t xml:space="preserve">3/19 Lake Pupuke Drive </t>
  </si>
  <si>
    <t xml:space="preserve">Takapuna </t>
  </si>
  <si>
    <t>UGC Creator Talking over email</t>
  </si>
  <si>
    <t>76 Carlisle Avenue</t>
  </si>
  <si>
    <t>W3 7NL</t>
  </si>
  <si>
    <t>GB</t>
  </si>
  <si>
    <t>Nancy Guy</t>
  </si>
  <si>
    <t>nancysfood_</t>
  </si>
  <si>
    <t>602 7 Bankside Boulevard</t>
  </si>
  <si>
    <t>Cortland at Colliers Yard</t>
  </si>
  <si>
    <t>M3 7HF</t>
  </si>
  <si>
    <t xml:space="preserve">Salford </t>
  </si>
  <si>
    <t>Karina Dick</t>
  </si>
  <si>
    <t>karinassimpleeats</t>
  </si>
  <si>
    <t>1504 Cornwell Ln</t>
  </si>
  <si>
    <t>Virginia Beach</t>
  </si>
  <si>
    <t>VA</t>
  </si>
  <si>
    <t>Takes good pics</t>
  </si>
  <si>
    <t>Haley Yablonowski</t>
  </si>
  <si>
    <t>yabo_fit</t>
  </si>
  <si>
    <t>900 Monroe St, Unit 1108</t>
  </si>
  <si>
    <t xml:space="preserve">Hoboken </t>
  </si>
  <si>
    <t>NJ</t>
  </si>
  <si>
    <t>Dorothea Meier</t>
  </si>
  <si>
    <t>healthwthea</t>
  </si>
  <si>
    <t>Sonnhalderain 58</t>
  </si>
  <si>
    <t>Ebikon</t>
  </si>
  <si>
    <t>CH</t>
  </si>
  <si>
    <t>Chloe Feyh</t>
  </si>
  <si>
    <t>chfeyh</t>
  </si>
  <si>
    <t>2620 Danbury Lane</t>
  </si>
  <si>
    <t xml:space="preserve">Leander </t>
  </si>
  <si>
    <t>chloe.feyh@gmail.com</t>
  </si>
  <si>
    <t xml:space="preserve">Sophia Schlesinger </t>
  </si>
  <si>
    <t>sophieschless</t>
  </si>
  <si>
    <t>117 SW 10th ST, Apt 2202</t>
  </si>
  <si>
    <t>FL</t>
  </si>
  <si>
    <t>Aisha Sams</t>
  </si>
  <si>
    <t>aishazaza</t>
  </si>
  <si>
    <t>2431 Chapala St</t>
  </si>
  <si>
    <t>Santa Barbara</t>
  </si>
  <si>
    <t>If she likes it, happy to share on story</t>
  </si>
  <si>
    <t xml:space="preserve">Georgia McAlister </t>
  </si>
  <si>
    <t>_fitnessbygeorgia</t>
  </si>
  <si>
    <t xml:space="preserve">134 Ruapehu Street </t>
  </si>
  <si>
    <t xml:space="preserve">Paraparaumu </t>
  </si>
  <si>
    <t>georgiamcalister70@gmail.com</t>
  </si>
  <si>
    <t>Elizabeth Stocks</t>
  </si>
  <si>
    <t>blueberriesforelizabeth</t>
  </si>
  <si>
    <t xml:space="preserve">538 8th St. #6 </t>
  </si>
  <si>
    <t>blueberriesforelizabeth@gmail.com</t>
  </si>
  <si>
    <t>Dani Breiner</t>
  </si>
  <si>
    <t>danishealthyeats</t>
  </si>
  <si>
    <t xml:space="preserve">1665 S 58th Street </t>
  </si>
  <si>
    <t>Tacoma</t>
  </si>
  <si>
    <t>danishealthyeats@gmail.com</t>
  </si>
  <si>
    <t xml:space="preserve">Kiana Stevenson </t>
  </si>
  <si>
    <t>kianastevensonn</t>
  </si>
  <si>
    <t>131A Churchill Road</t>
  </si>
  <si>
    <t>Rothesay Bay</t>
  </si>
  <si>
    <t>kianastevenson05@gmail.com</t>
  </si>
  <si>
    <t>Brittany Chernoff</t>
  </si>
  <si>
    <t>brittlifts.rn</t>
  </si>
  <si>
    <t>73 Homestead Drive</t>
  </si>
  <si>
    <t xml:space="preserve">Coram </t>
  </si>
  <si>
    <t>NY</t>
  </si>
  <si>
    <t>brittliftsrn@gmail.com</t>
  </si>
  <si>
    <t xml:space="preserve">Ana García </t>
  </si>
  <si>
    <t>anasfitmeals</t>
  </si>
  <si>
    <t>2x 500g mixes (any)</t>
  </si>
  <si>
    <t>Martini van Geffenstraat 46</t>
  </si>
  <si>
    <t>Amsterdam</t>
  </si>
  <si>
    <t>GL</t>
  </si>
  <si>
    <t>Netherlands</t>
  </si>
  <si>
    <t>anasfitmeals@gmail.com</t>
  </si>
  <si>
    <t>261k doesn't do gifted collabs but will story if she likes the product. Suspected RTS because she owed tax on it</t>
  </si>
  <si>
    <t>Michael Sclanders</t>
  </si>
  <si>
    <t>michaelsclanders</t>
  </si>
  <si>
    <t>591c Pencarrow road</t>
  </si>
  <si>
    <t xml:space="preserve">Tamahere </t>
  </si>
  <si>
    <t>Hamilton</t>
  </si>
  <si>
    <t>mikesclanders94@gmail.com</t>
  </si>
  <si>
    <t>Camille Stranks</t>
  </si>
  <si>
    <t>f45_training_hamilton_central</t>
  </si>
  <si>
    <t>Medium - 500g Buttermilk + 20x 80g samples</t>
  </si>
  <si>
    <t>F45 Training Hamilton, 85 Tristram Street</t>
  </si>
  <si>
    <t>Hamilton Central</t>
  </si>
  <si>
    <t xml:space="preserve">hamiltoncentral@f45training.co.nz </t>
  </si>
  <si>
    <t>Ashlee Nicholson</t>
  </si>
  <si>
    <t>nour.ash.ing</t>
  </si>
  <si>
    <t>25 Sunhaven Drive</t>
  </si>
  <si>
    <t xml:space="preserve">Newlands </t>
  </si>
  <si>
    <t>ashlee4015@gmail.com</t>
  </si>
  <si>
    <t>Ivana Yancheshmeh</t>
  </si>
  <si>
    <t>ivansy_</t>
  </si>
  <si>
    <t>7 Redfern Lane</t>
  </si>
  <si>
    <t>Glenfield</t>
  </si>
  <si>
    <t>ivanasy.collabs@gmail.com</t>
  </si>
  <si>
    <t>UGC content, paying $50</t>
  </si>
  <si>
    <t>20 x 80g Samples</t>
  </si>
  <si>
    <t>Resolutionfitness.pt@gmail.com</t>
  </si>
  <si>
    <t>Third time sending to them</t>
  </si>
  <si>
    <t>2x 500g Buttermilk &amp; Chocolate</t>
  </si>
  <si>
    <t>Sending to brother. 3rd shipment was really happy with her initial and halloween content. sent 2 bags for xmas content</t>
  </si>
  <si>
    <t>23 St Andrews Rd</t>
  </si>
  <si>
    <t>W3 7NE</t>
  </si>
  <si>
    <t>nataliechan1963@gmail.com</t>
  </si>
  <si>
    <t>Christmas Gift Pack - choc &amp; SC</t>
  </si>
  <si>
    <t>65 Northland Ave</t>
  </si>
  <si>
    <t>York</t>
  </si>
  <si>
    <t>M6N 2C9</t>
  </si>
  <si>
    <t>elishalenko.net@gmail.com</t>
  </si>
  <si>
    <t>Mobile: +1 416 625 8258 Previously sent her C&amp;C for sick reel. Now sending Gift Pack and paying $150CAD</t>
  </si>
  <si>
    <t>GLUTEN FREE SAMPLE</t>
  </si>
  <si>
    <t xml:space="preserve">Shanea Pagels </t>
  </si>
  <si>
    <t>shanea.pagels</t>
  </si>
  <si>
    <t>Gluten Free Sample</t>
  </si>
  <si>
    <t>13/111 Rio vista boulevard</t>
  </si>
  <si>
    <t>Broadbeach waters</t>
  </si>
  <si>
    <t>Jodie Seeto</t>
  </si>
  <si>
    <t>jjandbb35</t>
  </si>
  <si>
    <t>21 Pine stree</t>
  </si>
  <si>
    <t>Cammeray</t>
  </si>
  <si>
    <t>Brooke Hoare</t>
  </si>
  <si>
    <t>brooke.hoare</t>
  </si>
  <si>
    <t>18 Clark Street</t>
  </si>
  <si>
    <t xml:space="preserve">Mowbray </t>
  </si>
  <si>
    <t xml:space="preserve">Kaela Edson </t>
  </si>
  <si>
    <t>kaelaedsonn</t>
  </si>
  <si>
    <t>PO BOX 1091</t>
  </si>
  <si>
    <t>Two Wells</t>
  </si>
  <si>
    <t>Mia Parsons</t>
  </si>
  <si>
    <t>misrosefit_</t>
  </si>
  <si>
    <t>Gluten Free Sample + Salted Caramel</t>
  </si>
  <si>
    <t>11 chaleyer street</t>
  </si>
  <si>
    <t>Keri Baillie</t>
  </si>
  <si>
    <t>keribai</t>
  </si>
  <si>
    <t>572 Cambridge Road</t>
  </si>
  <si>
    <t>kerib0205@gmail.com</t>
  </si>
  <si>
    <t>littlelinda@me.com</t>
  </si>
  <si>
    <t>174k followers</t>
  </si>
  <si>
    <t>Light Green = Luke Dispatched</t>
  </si>
  <si>
    <t>Dark Green = Imported to ShipBob</t>
  </si>
  <si>
    <t>Delivery Status</t>
  </si>
  <si>
    <t>Collab Date</t>
  </si>
  <si>
    <t>Status</t>
  </si>
  <si>
    <t>Literature Notes</t>
  </si>
  <si>
    <t>Barkers (NZ spreads)</t>
  </si>
  <si>
    <t>Emma Barthelemy</t>
  </si>
  <si>
    <t>barkersofnz_au</t>
  </si>
  <si>
    <t>3k</t>
  </si>
  <si>
    <t>0426 582 426</t>
  </si>
  <si>
    <t>onlineshop@barkers.com.au</t>
  </si>
  <si>
    <t>15/02/2024</t>
  </si>
  <si>
    <t>POSTED</t>
  </si>
  <si>
    <t>Shipping us jams, Feb 14 scheduled post. Tracking: R344233020834289006140903</t>
  </si>
  <si>
    <t>Good intro</t>
  </si>
  <si>
    <t>Now do squeeze bottle - collab again? Send them product this time</t>
  </si>
  <si>
    <t>Mikro Coffee</t>
  </si>
  <si>
    <t>Valeri Tkatchenko</t>
  </si>
  <si>
    <t>mikrocoffeeroasters</t>
  </si>
  <si>
    <t>10.4k</t>
  </si>
  <si>
    <t>0433 662 129</t>
  </si>
  <si>
    <t>valeri@mikro.coffee</t>
  </si>
  <si>
    <t>Valeri sent us beans. $150 per brand collab - arrange content day to shoot</t>
  </si>
  <si>
    <t>Mayvers Food</t>
  </si>
  <si>
    <t>mayversfood</t>
  </si>
  <si>
    <t>74.6k</t>
  </si>
  <si>
    <t>info@mayvers.com.au</t>
  </si>
  <si>
    <t>21/03/2024</t>
  </si>
  <si>
    <t>They approved of collaborative reel. Posting</t>
  </si>
  <si>
    <t>Beerenberg</t>
  </si>
  <si>
    <t>Briony Roberts</t>
  </si>
  <si>
    <t>beerenbergfarm</t>
  </si>
  <si>
    <t>34.6k</t>
  </si>
  <si>
    <t>brionyr@beerenberg.com.au</t>
  </si>
  <si>
    <t>25/03/2024</t>
  </si>
  <si>
    <t>Schedueled content to post</t>
  </si>
  <si>
    <t>Rediculously Delicious</t>
  </si>
  <si>
    <t>Ben Dutton</t>
  </si>
  <si>
    <t>rdnutbutterco</t>
  </si>
  <si>
    <t>1.7k</t>
  </si>
  <si>
    <t>bendutton@gmail.com</t>
  </si>
  <si>
    <t>Too busy to collaborate, but sent us a jar of PB to create content with</t>
  </si>
  <si>
    <t>Pics Peanut Butter</t>
  </si>
  <si>
    <t>Received</t>
  </si>
  <si>
    <t>Kate Robertson</t>
  </si>
  <si>
    <t>picspeanutbutter</t>
  </si>
  <si>
    <t>66.8k</t>
  </si>
  <si>
    <t>kate@picspeanutbutter.com</t>
  </si>
  <si>
    <t>17/05/24</t>
  </si>
  <si>
    <t>Agreed to a collaborarive reel</t>
  </si>
  <si>
    <t>Now do squeeze bottle - collab again?</t>
  </si>
  <si>
    <t>Honest to Goodness</t>
  </si>
  <si>
    <t>Martine Doig</t>
  </si>
  <si>
    <t>honesttogoodnessau</t>
  </si>
  <si>
    <t>21.8k</t>
  </si>
  <si>
    <t>martine.doig@goodness.com.au</t>
  </si>
  <si>
    <t>27/05/24</t>
  </si>
  <si>
    <t>Sending us ingredients and a recipe to follow for collab content</t>
  </si>
  <si>
    <t>https://www.goodness.com.au/banana-pancakes-with-choc-tahini-sauce/</t>
  </si>
  <si>
    <t>FroPro</t>
  </si>
  <si>
    <t>Jess Greene</t>
  </si>
  <si>
    <t>froproaus</t>
  </si>
  <si>
    <t>29.3k</t>
  </si>
  <si>
    <t>jess@fropro.com.au</t>
  </si>
  <si>
    <t>Sent Abbey product to shoot content for the giveaway</t>
  </si>
  <si>
    <t>Carman's Kitchen</t>
  </si>
  <si>
    <t>Madeleine Borg</t>
  </si>
  <si>
    <t>carmanskitchen</t>
  </si>
  <si>
    <t>28.8k</t>
  </si>
  <si>
    <t>madeleine@carmanskitchen.com.au</t>
  </si>
  <si>
    <t>FAILED COLLAB</t>
  </si>
  <si>
    <t>Co-publish recipe post</t>
  </si>
  <si>
    <t>St. Dalfours</t>
  </si>
  <si>
    <t>Sabrina Verdicchio</t>
  </si>
  <si>
    <t>stdalfouraustralia</t>
  </si>
  <si>
    <t>4.4k</t>
  </si>
  <si>
    <t>sverdicchio@stdalfour.com</t>
  </si>
  <si>
    <t>Sending us products to shoot with</t>
  </si>
  <si>
    <t>CABN Life</t>
  </si>
  <si>
    <t>Sent to them</t>
  </si>
  <si>
    <t>Karyn Kent</t>
  </si>
  <si>
    <t>56.3k</t>
  </si>
  <si>
    <t>SENT SAMPLES</t>
  </si>
  <si>
    <t>Complimentary samples for CABN guests. Sent qty 50 on July 18</t>
  </si>
  <si>
    <t>B&amp;B Cottage</t>
  </si>
  <si>
    <t xml:space="preserve">Carolyn Huckel </t>
  </si>
  <si>
    <t>crossfieldcottage_riverland</t>
  </si>
  <si>
    <t>1.5k</t>
  </si>
  <si>
    <t>carolyn@crossfieldcottage.com.au</t>
  </si>
  <si>
    <t>Complimentary samples for B&amp;B guests Sent 15x 80g samples</t>
  </si>
  <si>
    <t>Crunch Fitness</t>
  </si>
  <si>
    <t>Martina</t>
  </si>
  <si>
    <t>18.5k</t>
  </si>
  <si>
    <t>Martina@crunch.com.au</t>
  </si>
  <si>
    <t>DONE</t>
  </si>
  <si>
    <t>Discount code crunch10, $300 value gift card, potential giveaway in September</t>
  </si>
  <si>
    <t>SnackBoy</t>
  </si>
  <si>
    <t>Jessica Duca</t>
  </si>
  <si>
    <t>snackboy.snacks</t>
  </si>
  <si>
    <t>3.4k</t>
  </si>
  <si>
    <t>Sent Jess product to shoot aesthetic giveaway content with. Collab potentially on Sept 26. $100 voucher from each brand</t>
  </si>
  <si>
    <t>Marissa Kassapakis</t>
  </si>
  <si>
    <t>02 9557 1100</t>
  </si>
  <si>
    <t>marissa@goodnessmebox.com</t>
  </si>
  <si>
    <t>Sending 200x 80g Buttermilk Samples for November Box (Delivery 1 - 10th October), and sent smaller run to HQ for product photography</t>
  </si>
  <si>
    <t>Baby By Beach</t>
  </si>
  <si>
    <t>7.6k</t>
  </si>
  <si>
    <t>CONTENT REQ</t>
  </si>
  <si>
    <t>Product swap, sending us products to shoot with vice cersa</t>
  </si>
  <si>
    <t>Blue Frog Breakfast</t>
  </si>
  <si>
    <t>In transit to us - F/U</t>
  </si>
  <si>
    <t>bluefrogbreakfast</t>
  </si>
  <si>
    <t>9k</t>
  </si>
  <si>
    <t>Talking over Instagram</t>
  </si>
  <si>
    <t>Sending us products for a collaborative reel</t>
  </si>
  <si>
    <t>Coyo Yoghurt</t>
  </si>
  <si>
    <t>Jessica Thurecht</t>
  </si>
  <si>
    <t>68.5k</t>
  </si>
  <si>
    <t>THEY SHOOT</t>
  </si>
  <si>
    <t>They were meant to create content. They didn't - I suggested we do it in-house instead and do a collaborative post</t>
  </si>
  <si>
    <t>44.1k</t>
  </si>
  <si>
    <t>hello@fundaysweets.com</t>
  </si>
  <si>
    <t>WORKING ON IT</t>
  </si>
  <si>
    <t>Emailed on 11 Nov and proposed Xmas collab</t>
  </si>
  <si>
    <t>Milkrun</t>
  </si>
  <si>
    <t>milkrun</t>
  </si>
  <si>
    <t>32.9k</t>
  </si>
  <si>
    <t>Collab once we crack into woolies</t>
  </si>
  <si>
    <t>Gelato Messina</t>
  </si>
  <si>
    <t>gelatomessina</t>
  </si>
  <si>
    <t>278k</t>
  </si>
  <si>
    <t>GymBod</t>
  </si>
  <si>
    <t>gymbod_official</t>
  </si>
  <si>
    <t>17.5k</t>
  </si>
  <si>
    <t>Worked together in the past, but said we could do something by the end of November</t>
  </si>
  <si>
    <t xml:space="preserve">Pancare </t>
  </si>
  <si>
    <t>13/02/2024</t>
  </si>
  <si>
    <t>National pancake day is Tuesday 13 Feb - Luke to touch base in week leading up</t>
  </si>
  <si>
    <t>Pistachio Papi</t>
  </si>
  <si>
    <t>Chris</t>
  </si>
  <si>
    <t>chris@pistahiopapi.com.au</t>
  </si>
  <si>
    <t>Luke will handle this one</t>
  </si>
  <si>
    <t xml:space="preserve">Cocobella </t>
  </si>
  <si>
    <t>Emily Joyce</t>
  </si>
  <si>
    <t>emily.joyce@madegroup.com</t>
  </si>
  <si>
    <t>Followed up with her via email</t>
  </si>
  <si>
    <t>Cosmic Cookware</t>
  </si>
  <si>
    <t>Sent a DM follow up to collab</t>
  </si>
  <si>
    <t>Coffee Connection</t>
  </si>
  <si>
    <t>Magda</t>
  </si>
  <si>
    <t>magda@coffeeconnection.com.au</t>
  </si>
  <si>
    <t>Sent email proposing a collab</t>
  </si>
  <si>
    <t>Studio Pilates Norwood</t>
  </si>
  <si>
    <t>Jo</t>
  </si>
  <si>
    <t>norwood@studiopilates.com</t>
  </si>
  <si>
    <t>In discussion</t>
  </si>
  <si>
    <t>Jo doesn't want to proceed with working with us</t>
  </si>
  <si>
    <t>Barre Body</t>
  </si>
  <si>
    <t>teach@barrebody.com.au</t>
  </si>
  <si>
    <t>Declined</t>
  </si>
  <si>
    <t>Ritual Unions (cookware)</t>
  </si>
  <si>
    <t>hello@ritualunions.com</t>
  </si>
  <si>
    <t>Sent email proposing a collab - gift them product they create content</t>
  </si>
  <si>
    <t>Bonne Maman</t>
  </si>
  <si>
    <t>OWNED BY BARKERS</t>
  </si>
  <si>
    <t>0451 366 870</t>
  </si>
  <si>
    <t>consumercare@bonnemaman.com.au</t>
  </si>
  <si>
    <t>Natvia (spreads)</t>
  </si>
  <si>
    <t>Georgia</t>
  </si>
  <si>
    <t>georgia@natvia.com</t>
  </si>
  <si>
    <t>In Discussion</t>
  </si>
  <si>
    <t>Proposed offering us an ingredient wholesale</t>
  </si>
  <si>
    <t>Short and Sweet</t>
  </si>
  <si>
    <t>Fix &amp; Fogg</t>
  </si>
  <si>
    <t xml:space="preserve">tessa@fixandfogg.co.nz </t>
  </si>
  <si>
    <t>The Tea Centre</t>
  </si>
  <si>
    <t>info@theteacentre.com.au</t>
  </si>
  <si>
    <t>Mouths of Mum's</t>
  </si>
  <si>
    <t>anita@mouthsofmums.com.au</t>
  </si>
  <si>
    <t>Wanted $5,000 for a feature</t>
  </si>
  <si>
    <t>ParkRun Australia</t>
  </si>
  <si>
    <t>media@parkrun.com</t>
  </si>
  <si>
    <t>Filled out partnership form, $4,000 per year budget</t>
  </si>
  <si>
    <t>Human.Kind</t>
  </si>
  <si>
    <t>hello@humankindstudios.com.au</t>
  </si>
  <si>
    <t>AusCycling</t>
  </si>
  <si>
    <t>kate.palmer@auscycling.org.au</t>
  </si>
  <si>
    <t>Naturally Sweet</t>
  </si>
  <si>
    <t>support@naturallysweet.com.au</t>
  </si>
  <si>
    <t>Salt Wellness Rooms</t>
  </si>
  <si>
    <t>saltwellnessrooms@gmail.com</t>
  </si>
  <si>
    <t>Yoga Theory</t>
  </si>
  <si>
    <t>admin@yogatheory.com.au</t>
  </si>
  <si>
    <t>Exhale Yoga</t>
  </si>
  <si>
    <t>hello@exhaleyoga.com.au</t>
  </si>
  <si>
    <t>Rise + Run</t>
  </si>
  <si>
    <t>Instagram DM: @riseandrunclub</t>
  </si>
  <si>
    <t>Studio Spring</t>
  </si>
  <si>
    <t>stepney@studiospring.com.au</t>
  </si>
  <si>
    <t>One Degree Studio</t>
  </si>
  <si>
    <t>hello@onedegreestudio.com.au</t>
  </si>
  <si>
    <t>Our Place</t>
  </si>
  <si>
    <t>partnerships@fromourplace.com</t>
  </si>
  <si>
    <t>Additional Label Information 1</t>
  </si>
  <si>
    <t>Send Tracking Notifications</t>
  </si>
  <si>
    <t>Send From Name</t>
  </si>
  <si>
    <t>Send From Business Name</t>
  </si>
  <si>
    <t>Send From Address Line 1</t>
  </si>
  <si>
    <t>Send From Address Line 2</t>
  </si>
  <si>
    <t>Send From Address Line 3</t>
  </si>
  <si>
    <t>Send From Suburb</t>
  </si>
  <si>
    <t>Send From State</t>
  </si>
  <si>
    <t>Send From Postcode</t>
  </si>
  <si>
    <t>Send From Phone Number</t>
  </si>
  <si>
    <t>Send From Email Address</t>
  </si>
  <si>
    <t>Deliver To Name</t>
  </si>
  <si>
    <t>Deliver To MyPost Number</t>
  </si>
  <si>
    <t>Deliver To Business Name</t>
  </si>
  <si>
    <t>Deliver To Type Of Address</t>
  </si>
  <si>
    <t>Deliver To Address Line 1</t>
  </si>
  <si>
    <t>Deliver To Address Line 2</t>
  </si>
  <si>
    <t>Deliver To Address Line 3</t>
  </si>
  <si>
    <t>Deliver To Phone Number</t>
  </si>
  <si>
    <t>Deliver To Email Address</t>
  </si>
  <si>
    <t>Item Packaging Type</t>
  </si>
  <si>
    <t>Item Delivery Service</t>
  </si>
  <si>
    <t>Item Description</t>
  </si>
  <si>
    <t>Item Length</t>
  </si>
  <si>
    <t>Item Width</t>
  </si>
  <si>
    <t>Item Height</t>
  </si>
  <si>
    <t>Item Weight</t>
  </si>
  <si>
    <t>Item Dangerous Goods Flag</t>
  </si>
  <si>
    <t>Signature On Delivery</t>
  </si>
  <si>
    <t>Extra Cover Amount</t>
  </si>
  <si>
    <t>NO</t>
  </si>
  <si>
    <t>The Protein Pancake</t>
  </si>
  <si>
    <t>18 Terama Ct</t>
  </si>
  <si>
    <t>Greenwith</t>
  </si>
  <si>
    <t>hello@theproteinpancake.co</t>
  </si>
  <si>
    <t>AP_BOX_S</t>
  </si>
  <si>
    <t>PP</t>
  </si>
  <si>
    <t>Protein Pancake Mix</t>
  </si>
  <si>
    <t>Sent</t>
  </si>
  <si>
    <t>Discount Code</t>
  </si>
  <si>
    <t>Posted</t>
  </si>
  <si>
    <t>WOODVILLE15</t>
  </si>
  <si>
    <t>Lisa Basford, Resolution Fitness</t>
  </si>
  <si>
    <t>RF15</t>
  </si>
  <si>
    <t>BRIGHTON15</t>
  </si>
  <si>
    <t>CHATSWOOD15</t>
  </si>
  <si>
    <t>HUSTLE15</t>
  </si>
  <si>
    <t>BFT15</t>
  </si>
  <si>
    <t>BOUT15</t>
  </si>
  <si>
    <t>FITSTOP15</t>
  </si>
  <si>
    <t>Te Ngahue</t>
  </si>
  <si>
    <t>FORTITUDE15</t>
  </si>
  <si>
    <t>FITZONE15</t>
  </si>
  <si>
    <t>FITNESSHUB15</t>
  </si>
  <si>
    <t>F4515</t>
  </si>
  <si>
    <t>CRUNCH10</t>
  </si>
  <si>
    <t>Partnering with Crunch Fittness</t>
  </si>
  <si>
    <t>Deliver To Country</t>
  </si>
  <si>
    <t>Cannot Be Delivered - Return To Sender / Abandon Parcel</t>
  </si>
  <si>
    <t>Customs Declaration - Commercial Value</t>
  </si>
  <si>
    <t>Customs Declaration - Reason For Export</t>
  </si>
  <si>
    <t>Customs Declaration - Why Are You Exporting These Goods</t>
  </si>
  <si>
    <t>Export Declaration Number</t>
  </si>
  <si>
    <t>SMS Tracking Notifications</t>
  </si>
  <si>
    <t>SMS Tracking Mobile Phone</t>
  </si>
  <si>
    <t>Parcel Contents - Description</t>
  </si>
  <si>
    <t>Parcel Contents - Weight</t>
  </si>
  <si>
    <t>Parcel Contents - Value</t>
  </si>
  <si>
    <t>Parcel Contents - Quantity</t>
  </si>
  <si>
    <t>Parcel Contents - Country Of Origin</t>
  </si>
  <si>
    <t>Parcel Contents - HS Tariff</t>
  </si>
  <si>
    <t>Parcel 2 Contents - Description</t>
  </si>
  <si>
    <t>Parcel 2 Contents - Weight</t>
  </si>
  <si>
    <t>Parcel 2 Contents - Value</t>
  </si>
  <si>
    <t>Parcel 2 Contents - Quantity</t>
  </si>
  <si>
    <t>Parcel 2 Contents - Country Of Origin</t>
  </si>
  <si>
    <t>Parcel 2 Contents - HS Tariff</t>
  </si>
  <si>
    <t>Parcel 3 Contents - Description</t>
  </si>
  <si>
    <t>Parcel 3 Contents - Weight</t>
  </si>
  <si>
    <t>Parcel 3 Contents - Value</t>
  </si>
  <si>
    <t>Parcel 3 Contents - Quantity</t>
  </si>
  <si>
    <t>Parcel 3 Contents - Country Of Origin</t>
  </si>
  <si>
    <t>Parcel 3 Contents - HS Tariff</t>
  </si>
  <si>
    <t>Parcel 4 Contents - Description</t>
  </si>
  <si>
    <t>Parcel 4 Contents - Weight</t>
  </si>
  <si>
    <t>Parcel 4 Contents - Value</t>
  </si>
  <si>
    <t>Parcel 4 Contents - Quantity</t>
  </si>
  <si>
    <t>Parcel 4 Contents - Country Of Origin</t>
  </si>
  <si>
    <t>Parcel 4 Contents - HS Tariff</t>
  </si>
  <si>
    <t>Send Tracking Email</t>
  </si>
  <si>
    <t>Delivery Instructions</t>
  </si>
  <si>
    <t>Comments</t>
  </si>
  <si>
    <t>Importer's Reference Number</t>
  </si>
  <si>
    <t>Licence Numbers</t>
  </si>
  <si>
    <t>Certificate Numbers</t>
  </si>
  <si>
    <t>Invoice Numbers</t>
  </si>
  <si>
    <r>
      <rPr>
        <rFont val="Arial"/>
        <color theme="1"/>
      </rPr>
      <t xml:space="preserve">2002 Scott St, </t>
    </r>
    <r>
      <rPr>
        <rFont val="Arial"/>
        <b/>
        <color theme="1"/>
      </rPr>
      <t>Suite: 2</t>
    </r>
  </si>
  <si>
    <t>kate@theproteinpancake.co</t>
  </si>
  <si>
    <t>OWN_PACKAGING</t>
  </si>
  <si>
    <t>STD</t>
  </si>
  <si>
    <t>RETURN</t>
  </si>
  <si>
    <t>YES</t>
  </si>
  <si>
    <t>GIFT</t>
  </si>
  <si>
    <t>Packet Pancake Mix</t>
  </si>
  <si>
    <t>Row type</t>
  </si>
  <si>
    <t>Recipient contact name</t>
  </si>
  <si>
    <t>Recipient business name</t>
  </si>
  <si>
    <t>Recipient country / region</t>
  </si>
  <si>
    <t>Recipient address line 1</t>
  </si>
  <si>
    <t>Recipient address line 2</t>
  </si>
  <si>
    <t>Recipient address line 3</t>
  </si>
  <si>
    <t>Recipient suburb</t>
  </si>
  <si>
    <t>Recipient state</t>
  </si>
  <si>
    <t>Recipient postcode</t>
  </si>
  <si>
    <t>Send tracking email to recipient</t>
  </si>
  <si>
    <t>Recipient email address</t>
  </si>
  <si>
    <t>Recipient phone number</t>
  </si>
  <si>
    <t>Delivery/special instruction 1</t>
  </si>
  <si>
    <t>Special instruction 2</t>
  </si>
  <si>
    <t>Special instruction 3</t>
  </si>
  <si>
    <t>Sender reference 1</t>
  </si>
  <si>
    <t>Sender reference 2</t>
  </si>
  <si>
    <t>Product id</t>
  </si>
  <si>
    <t>Quantity</t>
  </si>
  <si>
    <t>Weight</t>
  </si>
  <si>
    <t>Length</t>
  </si>
  <si>
    <t>Width</t>
  </si>
  <si>
    <t>Height</t>
  </si>
  <si>
    <t>Parcel contents</t>
  </si>
  <si>
    <t>Transit cover value</t>
  </si>
  <si>
    <t>Importers reference number</t>
  </si>
  <si>
    <t>Licence number</t>
  </si>
  <si>
    <t>Certificate number</t>
  </si>
  <si>
    <t>Invoice number</t>
  </si>
  <si>
    <t>Digital declaration</t>
  </si>
  <si>
    <t>Commercial value</t>
  </si>
  <si>
    <t>Reason for export</t>
  </si>
  <si>
    <t>Other reason for export</t>
  </si>
  <si>
    <t>Export declaration number</t>
  </si>
  <si>
    <t>Non-delivery preference</t>
  </si>
  <si>
    <t>Item - Quantity</t>
  </si>
  <si>
    <t>Item - Unit weight</t>
  </si>
  <si>
    <t>Item - Individual unit value (AUD)</t>
  </si>
  <si>
    <t>Item - Description</t>
  </si>
  <si>
    <t>Item - Origin</t>
  </si>
  <si>
    <t>Item - HS tariff code</t>
  </si>
  <si>
    <t>S</t>
  </si>
  <si>
    <t>PTI8</t>
  </si>
  <si>
    <t>Pakcet Pancake Mix</t>
  </si>
  <si>
    <t xml:space="preserve">Ebikon </t>
  </si>
  <si>
    <t>Bucheggstrasse 6, 631</t>
  </si>
  <si>
    <t>2x 500g mixes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</si>
</sst>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-d"/>
    <numFmt numFmtId="166" formatCode="ddd d mmmm"/>
    <numFmt numFmtId="167" formatCode="&quot;$&quot;#,##0.00"/>
  </numFmts>
  <fonts count="23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color rgb="FF000000"/>
    </font>
    <font>
      <color rgb="FF222222"/>
      <name val="Arial"/>
    </font>
    <font>
      <b/>
      <i/>
      <color theme="1"/>
      <name val="Arial"/>
      <scheme val="minor"/>
    </font>
    <font>
      <b/>
      <sz val="11.0"/>
      <color rgb="FF000000"/>
      <name val="Calibri"/>
    </font>
    <font>
      <sz val="10.0"/>
      <color rgb="FF222222"/>
      <name val="Arial"/>
      <scheme val="minor"/>
    </font>
    <font>
      <sz val="10.0"/>
      <color rgb="FF1F1F1F"/>
      <name val="Arial"/>
      <scheme val="minor"/>
    </font>
    <font>
      <color rgb="FF000000"/>
      <name val="Arial"/>
    </font>
    <font>
      <u/>
      <color rgb="FF0000FF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0.0"/>
      <color rgb="FF000000"/>
      <name val="&quot;Helvetica Neue&quot;"/>
    </font>
    <font>
      <sz val="10.0"/>
      <color rgb="FF000000"/>
      <name val="&quot;Helvetica Neue&quot;"/>
    </font>
    <font>
      <sz val="11.0"/>
      <color rgb="FF212129"/>
      <name val="Ap_text"/>
    </font>
  </fonts>
  <fills count="1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D4D4D4"/>
        <bgColor rgb="FFD4D4D4"/>
      </patternFill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thick">
        <color rgb="FF000000"/>
      </bottom>
    </border>
    <border>
      <bottom style="thin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3" fontId="2" numFmtId="0" xfId="0" applyAlignment="1" applyBorder="1" applyFill="1" applyFont="1">
      <alignment horizontal="left" readingOrder="0" shrinkToFit="0" vertical="bottom" wrapText="0"/>
    </xf>
    <xf borderId="2" fillId="3" fontId="2" numFmtId="0" xfId="0" applyAlignment="1" applyBorder="1" applyFont="1">
      <alignment horizontal="left" readingOrder="0" shrinkToFit="0" vertical="bottom" wrapText="0"/>
    </xf>
    <xf borderId="0" fillId="2" fontId="1" numFmtId="0" xfId="0" applyAlignment="1" applyFont="1">
      <alignment horizontal="left"/>
    </xf>
    <xf borderId="0" fillId="2" fontId="3" numFmtId="0" xfId="0" applyAlignment="1" applyFont="1">
      <alignment horizontal="left"/>
    </xf>
    <xf borderId="0" fillId="4" fontId="4" numFmtId="0" xfId="0" applyAlignment="1" applyFill="1" applyFont="1">
      <alignment horizontal="left" readingOrder="0" vertical="bottom"/>
    </xf>
    <xf borderId="0" fillId="4" fontId="5" numFmtId="0" xfId="0" applyAlignment="1" applyFont="1">
      <alignment horizontal="left" readingOrder="0" vertical="bottom"/>
    </xf>
    <xf borderId="0" fillId="4" fontId="5" numFmtId="0" xfId="0" applyAlignment="1" applyFont="1">
      <alignment horizontal="left" vertical="bottom"/>
    </xf>
    <xf borderId="0" fillId="5" fontId="5" numFmtId="0" xfId="0" applyAlignment="1" applyFill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left" vertical="bottom"/>
    </xf>
    <xf borderId="0" fillId="0" fontId="3" numFmtId="0" xfId="0" applyAlignment="1" applyFont="1">
      <alignment horizontal="left" readingOrder="0"/>
    </xf>
    <xf borderId="0" fillId="5" fontId="5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5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vertical="bottom"/>
    </xf>
    <xf borderId="0" fillId="5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readingOrder="0"/>
    </xf>
    <xf borderId="0" fillId="5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0" fillId="4" fontId="4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6" fontId="3" numFmtId="0" xfId="0" applyAlignment="1" applyFill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3" numFmtId="49" xfId="0" applyAlignment="1" applyFont="1" applyNumberFormat="1">
      <alignment horizontal="left" readingOrder="0"/>
    </xf>
    <xf borderId="0" fillId="7" fontId="5" numFmtId="0" xfId="0" applyAlignment="1" applyFill="1" applyFont="1">
      <alignment horizontal="left" readingOrder="0" vertical="bottom"/>
    </xf>
    <xf borderId="0" fillId="8" fontId="5" numFmtId="0" xfId="0" applyAlignment="1" applyFill="1" applyFont="1">
      <alignment horizontal="left" readingOrder="0" vertical="bottom"/>
    </xf>
    <xf borderId="0" fillId="7" fontId="5" numFmtId="0" xfId="0" applyAlignment="1" applyFont="1">
      <alignment readingOrder="0" vertical="bottom"/>
    </xf>
    <xf borderId="0" fillId="7" fontId="3" numFmtId="0" xfId="0" applyAlignment="1" applyFont="1">
      <alignment horizontal="left" readingOrder="0"/>
    </xf>
    <xf borderId="0" fillId="7" fontId="1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7" fontId="7" numFmtId="0" xfId="0" applyAlignment="1" applyFont="1">
      <alignment horizontal="left" readingOrder="0"/>
    </xf>
    <xf quotePrefix="1" borderId="0" fillId="0" fontId="3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  <xf borderId="0" fillId="4" fontId="7" numFmtId="0" xfId="0" applyAlignment="1" applyFont="1">
      <alignment readingOrder="0"/>
    </xf>
    <xf borderId="0" fillId="4" fontId="3" numFmtId="0" xfId="0" applyAlignment="1" applyFont="1">
      <alignment horizontal="left" readingOrder="0"/>
    </xf>
    <xf borderId="0" fillId="4" fontId="3" numFmtId="0" xfId="0" applyAlignment="1" applyFont="1">
      <alignment readingOrder="0"/>
    </xf>
    <xf borderId="0" fillId="4" fontId="3" numFmtId="0" xfId="0" applyFont="1"/>
    <xf borderId="0" fillId="9" fontId="3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6" fontId="3" numFmtId="0" xfId="0" applyAlignment="1" applyFont="1">
      <alignment readingOrder="0"/>
    </xf>
    <xf borderId="0" fillId="6" fontId="3" numFmtId="0" xfId="0" applyFont="1"/>
    <xf borderId="0" fillId="6" fontId="3" numFmtId="0" xfId="0" applyAlignment="1" applyFont="1">
      <alignment horizontal="center" readingOrder="0"/>
    </xf>
    <xf borderId="0" fillId="6" fontId="3" numFmtId="0" xfId="0" applyAlignment="1" applyFont="1">
      <alignment horizontal="center"/>
    </xf>
    <xf borderId="0" fillId="10" fontId="7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11" fontId="11" numFmtId="0" xfId="0" applyAlignment="1" applyFill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3" numFmtId="165" xfId="0" applyAlignment="1" applyFont="1" applyNumberFormat="1">
      <alignment horizontal="right" readingOrder="0"/>
    </xf>
    <xf borderId="0" fillId="0" fontId="3" numFmtId="0" xfId="0" applyAlignment="1" applyFont="1">
      <alignment horizontal="right" readingOrder="0"/>
    </xf>
    <xf borderId="0" fillId="9" fontId="1" numFmtId="0" xfId="0" applyAlignment="1" applyFont="1">
      <alignment horizontal="left" readingOrder="0"/>
    </xf>
    <xf borderId="0" fillId="12" fontId="1" numFmtId="0" xfId="0" applyAlignment="1" applyFill="1" applyFont="1">
      <alignment horizontal="left" readingOrder="0"/>
    </xf>
    <xf borderId="0" fillId="3" fontId="12" numFmtId="0" xfId="0" applyAlignment="1" applyFont="1">
      <alignment horizontal="left" readingOrder="0"/>
    </xf>
    <xf borderId="3" fillId="9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/>
    </xf>
    <xf borderId="3" fillId="0" fontId="3" numFmtId="0" xfId="0" applyAlignment="1" applyBorder="1" applyFont="1">
      <alignment horizontal="left"/>
    </xf>
    <xf borderId="0" fillId="4" fontId="1" numFmtId="0" xfId="0" applyAlignment="1" applyFont="1">
      <alignment horizontal="left" readingOrder="0"/>
    </xf>
    <xf borderId="0" fillId="9" fontId="0" numFmtId="0" xfId="0" applyAlignment="1" applyFont="1">
      <alignment horizontal="left" readingOrder="0"/>
    </xf>
    <xf borderId="0" fillId="10" fontId="1" numFmtId="0" xfId="0" applyAlignment="1" applyFont="1">
      <alignment horizontal="left" readingOrder="0"/>
    </xf>
    <xf borderId="0" fillId="10" fontId="1" numFmtId="0" xfId="0" applyAlignment="1" applyFont="1">
      <alignment horizontal="left"/>
    </xf>
    <xf borderId="0" fillId="10" fontId="3" numFmtId="0" xfId="0" applyAlignment="1" applyFont="1">
      <alignment horizontal="left"/>
    </xf>
    <xf borderId="3" fillId="10" fontId="1" numFmtId="0" xfId="0" applyAlignment="1" applyBorder="1" applyFont="1">
      <alignment horizontal="left" readingOrder="0"/>
    </xf>
    <xf borderId="3" fillId="10" fontId="1" numFmtId="0" xfId="0" applyAlignment="1" applyBorder="1" applyFont="1">
      <alignment horizontal="left"/>
    </xf>
    <xf borderId="3" fillId="10" fontId="3" numFmtId="0" xfId="0" applyAlignment="1" applyBorder="1" applyFont="1">
      <alignment horizontal="left"/>
    </xf>
    <xf borderId="4" fillId="9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/>
    </xf>
    <xf borderId="4" fillId="2" fontId="1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/>
    </xf>
    <xf borderId="3" fillId="2" fontId="1" numFmtId="0" xfId="0" applyAlignment="1" applyBorder="1" applyFont="1">
      <alignment horizontal="left" readingOrder="0"/>
    </xf>
    <xf borderId="0" fillId="9" fontId="3" numFmtId="0" xfId="0" applyAlignment="1" applyFont="1">
      <alignment horizontal="left" readingOrder="0"/>
    </xf>
    <xf borderId="0" fillId="10" fontId="3" numFmtId="0" xfId="0" applyAlignment="1" applyFont="1">
      <alignment horizontal="left" readingOrder="0"/>
    </xf>
    <xf borderId="4" fillId="9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 readingOrder="0"/>
    </xf>
    <xf borderId="4" fillId="11" fontId="3" numFmtId="0" xfId="0" applyAlignment="1" applyBorder="1" applyFont="1">
      <alignment horizontal="left" readingOrder="0"/>
    </xf>
    <xf borderId="0" fillId="9" fontId="5" numFmtId="0" xfId="0" applyAlignment="1" applyFont="1">
      <alignment horizontal="left" readingOrder="0" vertical="bottom"/>
    </xf>
    <xf borderId="0" fillId="2" fontId="5" numFmtId="0" xfId="0" applyAlignment="1" applyFont="1">
      <alignment horizontal="left" readingOrder="0" vertical="bottom"/>
    </xf>
    <xf borderId="4" fillId="9" fontId="5" numFmtId="0" xfId="0" applyAlignment="1" applyBorder="1" applyFont="1">
      <alignment horizontal="left" readingOrder="0" vertical="bottom"/>
    </xf>
    <xf borderId="4" fillId="0" fontId="5" numFmtId="0" xfId="0" applyAlignment="1" applyBorder="1" applyFont="1">
      <alignment horizontal="left" readingOrder="0" vertical="bottom"/>
    </xf>
    <xf borderId="4" fillId="0" fontId="5" numFmtId="0" xfId="0" applyAlignment="1" applyBorder="1" applyFont="1">
      <alignment horizontal="left" vertical="bottom"/>
    </xf>
    <xf borderId="4" fillId="2" fontId="5" numFmtId="0" xfId="0" applyAlignment="1" applyBorder="1" applyFont="1">
      <alignment horizontal="left" readingOrder="0" vertical="bottom"/>
    </xf>
    <xf borderId="0" fillId="3" fontId="9" numFmtId="0" xfId="0" applyAlignment="1" applyFont="1">
      <alignment horizontal="left" readingOrder="0"/>
    </xf>
    <xf borderId="4" fillId="7" fontId="5" numFmtId="0" xfId="0" applyAlignment="1" applyBorder="1" applyFont="1">
      <alignment horizontal="left" readingOrder="0" vertical="bottom"/>
    </xf>
    <xf borderId="0" fillId="2" fontId="3" numFmtId="0" xfId="0" applyAlignment="1" applyFont="1">
      <alignment horizontal="left" readingOrder="0"/>
    </xf>
    <xf borderId="0" fillId="11" fontId="3" numFmtId="0" xfId="0" applyAlignment="1" applyFont="1">
      <alignment horizontal="left" readingOrder="0"/>
    </xf>
    <xf borderId="0" fillId="7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3" fontId="13" numFmtId="0" xfId="0" applyAlignment="1" applyFont="1">
      <alignment horizontal="left" readingOrder="0"/>
    </xf>
    <xf borderId="4" fillId="2" fontId="3" numFmtId="0" xfId="0" applyAlignment="1" applyBorder="1" applyFont="1">
      <alignment horizontal="left" readingOrder="0"/>
    </xf>
    <xf borderId="0" fillId="3" fontId="14" numFmtId="0" xfId="0" applyAlignment="1" applyFont="1">
      <alignment horizontal="left" readingOrder="0"/>
    </xf>
    <xf borderId="0" fillId="0" fontId="5" numFmtId="0" xfId="0" applyAlignment="1" applyFont="1">
      <alignment horizontal="left" readingOrder="0" vertical="bottom"/>
    </xf>
    <xf borderId="0" fillId="13" fontId="5" numFmtId="0" xfId="0" applyAlignment="1" applyFill="1" applyFont="1">
      <alignment horizontal="left" readingOrder="0" vertical="bottom"/>
    </xf>
    <xf borderId="0" fillId="2" fontId="3" numFmtId="0" xfId="0" applyAlignment="1" applyFont="1">
      <alignment readingOrder="0"/>
    </xf>
    <xf borderId="0" fillId="9" fontId="3" numFmtId="0" xfId="0" applyAlignment="1" applyFont="1">
      <alignment horizontal="center" readingOrder="0"/>
    </xf>
    <xf borderId="0" fillId="9" fontId="3" numFmtId="0" xfId="0" applyFont="1"/>
    <xf borderId="0" fillId="9" fontId="9" numFmtId="0" xfId="0" applyAlignment="1" applyFont="1">
      <alignment horizontal="left" readingOrder="0"/>
    </xf>
    <xf borderId="0" fillId="9" fontId="9" numFmtId="0" xfId="0" applyAlignment="1" applyFont="1">
      <alignment horizontal="center" readingOrder="0"/>
    </xf>
    <xf borderId="0" fillId="9" fontId="3" numFmtId="164" xfId="0" applyAlignment="1" applyFont="1" applyNumberFormat="1">
      <alignment horizontal="center" readingOrder="0"/>
    </xf>
    <xf borderId="0" fillId="10" fontId="3" numFmtId="0" xfId="0" applyAlignment="1" applyFont="1">
      <alignment horizontal="center" readingOrder="0"/>
    </xf>
    <xf borderId="0" fillId="10" fontId="3" numFmtId="0" xfId="0" applyFont="1"/>
    <xf borderId="0" fillId="9" fontId="3" numFmtId="0" xfId="0" applyAlignment="1" applyFont="1">
      <alignment horizontal="left"/>
    </xf>
    <xf borderId="0" fillId="9" fontId="15" numFmtId="0" xfId="0" applyAlignment="1" applyFont="1">
      <alignment readingOrder="0"/>
    </xf>
    <xf borderId="0" fillId="9" fontId="3" numFmtId="0" xfId="0" applyAlignment="1" applyFont="1">
      <alignment horizontal="center"/>
    </xf>
    <xf borderId="0" fillId="9" fontId="7" numFmtId="0" xfId="0" applyAlignment="1" applyFont="1">
      <alignment readingOrder="0"/>
    </xf>
    <xf borderId="0" fillId="7" fontId="3" numFmtId="0" xfId="0" applyAlignment="1" applyFont="1">
      <alignment readingOrder="0"/>
    </xf>
    <xf borderId="0" fillId="6" fontId="3" numFmtId="0" xfId="0" applyAlignment="1" applyFont="1">
      <alignment horizontal="left"/>
    </xf>
    <xf borderId="5" fillId="0" fontId="16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3" fontId="11" numFmtId="0" xfId="0" applyAlignment="1" applyBorder="1" applyFont="1">
      <alignment readingOrder="0" shrinkToFit="0" vertical="bottom" wrapText="0"/>
    </xf>
    <xf borderId="1" fillId="3" fontId="17" numFmtId="0" xfId="0" applyAlignment="1" applyBorder="1" applyFont="1">
      <alignment readingOrder="0" shrinkToFit="0" vertical="bottom" wrapText="0"/>
    </xf>
    <xf borderId="0" fillId="14" fontId="5" numFmtId="166" xfId="0" applyAlignment="1" applyFill="1" applyFont="1" applyNumberFormat="1">
      <alignment horizontal="left" readingOrder="0" vertical="bottom"/>
    </xf>
    <xf borderId="0" fillId="14" fontId="5" numFmtId="0" xfId="0" applyAlignment="1" applyFont="1">
      <alignment readingOrder="0" vertical="bottom"/>
    </xf>
    <xf borderId="0" fillId="14" fontId="5" numFmtId="0" xfId="0" applyAlignment="1" applyFont="1">
      <alignment horizontal="left" readingOrder="0" vertical="bottom"/>
    </xf>
    <xf borderId="0" fillId="9" fontId="5" numFmtId="0" xfId="0" applyAlignment="1" applyFont="1">
      <alignment readingOrder="0" vertical="bottom"/>
    </xf>
    <xf borderId="0" fillId="2" fontId="5" numFmtId="0" xfId="0" applyAlignment="1" applyFont="1">
      <alignment readingOrder="0" vertical="bottom"/>
    </xf>
    <xf borderId="0" fillId="3" fontId="13" numFmtId="0" xfId="0" applyAlignment="1" applyFont="1">
      <alignment readingOrder="0"/>
    </xf>
    <xf borderId="0" fillId="12" fontId="5" numFmtId="0" xfId="0" applyAlignment="1" applyFont="1">
      <alignment readingOrder="0" vertical="bottom"/>
    </xf>
    <xf borderId="0" fillId="12" fontId="3" numFmtId="0" xfId="0" applyAlignment="1" applyFont="1">
      <alignment readingOrder="0"/>
    </xf>
    <xf borderId="0" fillId="15" fontId="3" numFmtId="0" xfId="0" applyAlignment="1" applyFill="1" applyFont="1">
      <alignment readingOrder="0"/>
    </xf>
    <xf borderId="0" fillId="0" fontId="18" numFmtId="49" xfId="0" applyAlignment="1" applyFont="1" applyNumberFormat="1">
      <alignment vertical="bottom"/>
    </xf>
    <xf borderId="0" fillId="0" fontId="19" numFmtId="49" xfId="0" applyAlignment="1" applyFont="1" applyNumberFormat="1">
      <alignment vertical="bottom"/>
    </xf>
    <xf borderId="0" fillId="0" fontId="3" numFmtId="0" xfId="0" applyFont="1"/>
    <xf borderId="0" fillId="0" fontId="3" numFmtId="167" xfId="0" applyAlignment="1" applyFont="1" applyNumberFormat="1">
      <alignment readingOrder="0"/>
    </xf>
    <xf borderId="0" fillId="0" fontId="7" numFmtId="0" xfId="0" applyFont="1"/>
    <xf borderId="5" fillId="16" fontId="20" numFmtId="49" xfId="0" applyAlignment="1" applyBorder="1" applyFill="1" applyFont="1" applyNumberFormat="1">
      <alignment readingOrder="0" vertical="top"/>
    </xf>
    <xf borderId="5" fillId="0" fontId="21" numFmtId="49" xfId="0" applyAlignment="1" applyBorder="1" applyFont="1" applyNumberFormat="1">
      <alignment readingOrder="0" vertical="top"/>
    </xf>
    <xf borderId="5" fillId="0" fontId="1" numFmtId="49" xfId="0" applyAlignment="1" applyBorder="1" applyFont="1" applyNumberFormat="1">
      <alignment vertical="top"/>
    </xf>
    <xf borderId="0" fillId="3" fontId="2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hoshannah.nz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dness.com.au/banana-pancakes-with-choc-tahini-sauce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2.75"/>
    <col customWidth="1" min="2" max="2" width="19.63"/>
    <col customWidth="1" min="3" max="3" width="12.13"/>
    <col customWidth="1" min="4" max="4" width="37.38"/>
    <col customWidth="1" min="5" max="5" width="31.63"/>
    <col customWidth="1" min="6" max="6" width="22.13"/>
    <col customWidth="1" min="7" max="7" width="9.75"/>
    <col customWidth="1" min="8" max="8" width="10.63"/>
    <col customWidth="1" min="9" max="9" width="10.88"/>
    <col customWidth="1" min="10" max="10" width="28.88"/>
    <col customWidth="1" min="11" max="11" width="139.88"/>
    <col customWidth="1" min="12" max="12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 t="s">
        <v>12</v>
      </c>
      <c r="B2" s="7"/>
      <c r="C2" s="8"/>
      <c r="D2" s="7"/>
      <c r="E2" s="7"/>
      <c r="F2" s="7"/>
      <c r="G2" s="7"/>
      <c r="H2" s="7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10">
        <v>3103.0</v>
      </c>
      <c r="H3" s="10" t="s">
        <v>19</v>
      </c>
      <c r="I3" s="10" t="s">
        <v>20</v>
      </c>
      <c r="J3" s="10" t="s">
        <v>21</v>
      </c>
      <c r="K3" s="10" t="s">
        <v>22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9" t="s">
        <v>23</v>
      </c>
      <c r="B4" s="10" t="s">
        <v>24</v>
      </c>
      <c r="C4" s="10" t="s">
        <v>15</v>
      </c>
      <c r="D4" s="10" t="s">
        <v>16</v>
      </c>
      <c r="E4" s="10" t="s">
        <v>25</v>
      </c>
      <c r="F4" s="10" t="s">
        <v>26</v>
      </c>
      <c r="G4" s="10">
        <v>3936.0</v>
      </c>
      <c r="H4" s="10" t="s">
        <v>19</v>
      </c>
      <c r="I4" s="10" t="s">
        <v>20</v>
      </c>
      <c r="J4" s="10" t="s">
        <v>27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9" t="s">
        <v>28</v>
      </c>
      <c r="B5" s="10" t="s">
        <v>29</v>
      </c>
      <c r="C5" s="10" t="s">
        <v>15</v>
      </c>
      <c r="D5" s="10" t="s">
        <v>30</v>
      </c>
      <c r="E5" s="10" t="s">
        <v>31</v>
      </c>
      <c r="F5" s="10" t="s">
        <v>32</v>
      </c>
      <c r="G5" s="10">
        <v>4557.0</v>
      </c>
      <c r="H5" s="10" t="s">
        <v>33</v>
      </c>
      <c r="I5" s="10" t="s">
        <v>20</v>
      </c>
      <c r="J5" s="10" t="s">
        <v>34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9" t="s">
        <v>35</v>
      </c>
      <c r="B6" s="10" t="s">
        <v>36</v>
      </c>
      <c r="C6" s="10" t="s">
        <v>37</v>
      </c>
      <c r="D6" s="12" t="s">
        <v>38</v>
      </c>
      <c r="E6" s="10" t="s">
        <v>39</v>
      </c>
      <c r="F6" s="10" t="s">
        <v>40</v>
      </c>
      <c r="G6" s="10">
        <v>6034.0</v>
      </c>
      <c r="H6" s="10" t="s">
        <v>41</v>
      </c>
      <c r="I6" s="10" t="s">
        <v>20</v>
      </c>
      <c r="J6" s="10" t="s">
        <v>42</v>
      </c>
      <c r="K6" s="10" t="s">
        <v>43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9" t="s">
        <v>44</v>
      </c>
      <c r="B7" s="10" t="s">
        <v>45</v>
      </c>
      <c r="C7" s="10" t="s">
        <v>46</v>
      </c>
      <c r="D7" s="12" t="s">
        <v>47</v>
      </c>
      <c r="E7" s="10" t="s">
        <v>48</v>
      </c>
      <c r="F7" s="10" t="s">
        <v>49</v>
      </c>
      <c r="G7" s="10">
        <v>2286.0</v>
      </c>
      <c r="H7" s="10" t="s">
        <v>50</v>
      </c>
      <c r="I7" s="10" t="s">
        <v>20</v>
      </c>
      <c r="J7" s="10" t="s">
        <v>51</v>
      </c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9" t="s">
        <v>52</v>
      </c>
      <c r="B8" s="10" t="s">
        <v>53</v>
      </c>
      <c r="C8" s="10" t="s">
        <v>15</v>
      </c>
      <c r="D8" s="12" t="s">
        <v>54</v>
      </c>
      <c r="E8" s="10" t="s">
        <v>55</v>
      </c>
      <c r="F8" s="10" t="s">
        <v>56</v>
      </c>
      <c r="G8" s="10">
        <v>6164.0</v>
      </c>
      <c r="H8" s="10" t="s">
        <v>41</v>
      </c>
      <c r="I8" s="10" t="s">
        <v>20</v>
      </c>
      <c r="J8" s="10" t="s">
        <v>57</v>
      </c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9" t="s">
        <v>58</v>
      </c>
      <c r="B9" s="10" t="s">
        <v>59</v>
      </c>
      <c r="C9" s="10" t="s">
        <v>15</v>
      </c>
      <c r="D9" s="10" t="s">
        <v>16</v>
      </c>
      <c r="E9" s="10" t="s">
        <v>60</v>
      </c>
      <c r="F9" s="10" t="s">
        <v>61</v>
      </c>
      <c r="G9" s="10">
        <v>3072.0</v>
      </c>
      <c r="H9" s="10" t="s">
        <v>19</v>
      </c>
      <c r="I9" s="10" t="s">
        <v>20</v>
      </c>
      <c r="J9" s="10" t="s">
        <v>62</v>
      </c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13" t="s">
        <v>63</v>
      </c>
      <c r="B10" s="14" t="s">
        <v>64</v>
      </c>
      <c r="C10" s="10" t="s">
        <v>15</v>
      </c>
      <c r="D10" s="12" t="s">
        <v>65</v>
      </c>
      <c r="E10" s="10" t="s">
        <v>66</v>
      </c>
      <c r="F10" s="10" t="s">
        <v>67</v>
      </c>
      <c r="G10" s="10">
        <v>4000.0</v>
      </c>
      <c r="H10" s="10" t="s">
        <v>33</v>
      </c>
      <c r="I10" s="10" t="s">
        <v>20</v>
      </c>
      <c r="J10" s="10" t="s">
        <v>68</v>
      </c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5" t="s">
        <v>58</v>
      </c>
      <c r="B11" s="16" t="s">
        <v>59</v>
      </c>
      <c r="C11" s="14" t="s">
        <v>15</v>
      </c>
      <c r="D11" s="12" t="s">
        <v>54</v>
      </c>
      <c r="E11" s="16" t="s">
        <v>60</v>
      </c>
      <c r="F11" s="16" t="s">
        <v>61</v>
      </c>
      <c r="G11" s="17">
        <v>3072.0</v>
      </c>
      <c r="H11" s="16" t="s">
        <v>19</v>
      </c>
      <c r="I11" s="16" t="s">
        <v>20</v>
      </c>
      <c r="J11" s="16" t="s">
        <v>62</v>
      </c>
      <c r="K11" s="14" t="s">
        <v>69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>
      <c r="A12" s="9" t="s">
        <v>70</v>
      </c>
      <c r="B12" s="10" t="s">
        <v>71</v>
      </c>
      <c r="C12" s="10" t="s">
        <v>46</v>
      </c>
      <c r="D12" s="10" t="s">
        <v>47</v>
      </c>
      <c r="E12" s="10" t="s">
        <v>72</v>
      </c>
      <c r="F12" s="10" t="s">
        <v>73</v>
      </c>
      <c r="G12" s="10">
        <v>2298.0</v>
      </c>
      <c r="H12" s="10" t="s">
        <v>50</v>
      </c>
      <c r="I12" s="10" t="s">
        <v>20</v>
      </c>
      <c r="J12" s="10" t="s">
        <v>74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9" t="s">
        <v>75</v>
      </c>
      <c r="B13" s="10" t="s">
        <v>76</v>
      </c>
      <c r="C13" s="10" t="s">
        <v>37</v>
      </c>
      <c r="D13" s="10" t="s">
        <v>16</v>
      </c>
      <c r="E13" s="10" t="s">
        <v>77</v>
      </c>
      <c r="F13" s="10" t="s">
        <v>78</v>
      </c>
      <c r="G13" s="10">
        <v>2290.0</v>
      </c>
      <c r="H13" s="10" t="s">
        <v>50</v>
      </c>
      <c r="I13" s="10" t="s">
        <v>20</v>
      </c>
      <c r="J13" s="10" t="s">
        <v>79</v>
      </c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19" t="s">
        <v>80</v>
      </c>
      <c r="B14" s="10" t="s">
        <v>81</v>
      </c>
      <c r="C14" s="10" t="s">
        <v>37</v>
      </c>
      <c r="D14" s="10" t="s">
        <v>16</v>
      </c>
      <c r="E14" s="10" t="s">
        <v>82</v>
      </c>
      <c r="F14" s="10" t="s">
        <v>83</v>
      </c>
      <c r="G14" s="10">
        <v>4215.0</v>
      </c>
      <c r="H14" s="10" t="s">
        <v>33</v>
      </c>
      <c r="I14" s="10" t="s">
        <v>20</v>
      </c>
      <c r="J14" s="10" t="s">
        <v>84</v>
      </c>
      <c r="K14" s="10" t="s">
        <v>85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19" t="s">
        <v>86</v>
      </c>
      <c r="B15" s="10" t="s">
        <v>87</v>
      </c>
      <c r="C15" s="10" t="s">
        <v>15</v>
      </c>
      <c r="D15" s="10" t="s">
        <v>88</v>
      </c>
      <c r="E15" s="10" t="s">
        <v>89</v>
      </c>
      <c r="F15" s="10" t="s">
        <v>90</v>
      </c>
      <c r="G15" s="10">
        <v>2125.0</v>
      </c>
      <c r="H15" s="10" t="s">
        <v>50</v>
      </c>
      <c r="I15" s="10" t="s">
        <v>20</v>
      </c>
      <c r="J15" s="10" t="s">
        <v>91</v>
      </c>
      <c r="K15" s="10" t="s">
        <v>92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9" t="s">
        <v>93</v>
      </c>
      <c r="B16" s="10" t="s">
        <v>94</v>
      </c>
      <c r="C16" s="10" t="s">
        <v>15</v>
      </c>
      <c r="D16" s="10" t="s">
        <v>95</v>
      </c>
      <c r="E16" s="10" t="s">
        <v>96</v>
      </c>
      <c r="F16" s="10" t="s">
        <v>97</v>
      </c>
      <c r="G16" s="10">
        <v>4051.0</v>
      </c>
      <c r="H16" s="10" t="s">
        <v>33</v>
      </c>
      <c r="I16" s="10" t="s">
        <v>20</v>
      </c>
      <c r="J16" s="10" t="s">
        <v>98</v>
      </c>
      <c r="K16" s="10" t="s">
        <v>99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19" t="s">
        <v>100</v>
      </c>
      <c r="B17" s="10" t="s">
        <v>101</v>
      </c>
      <c r="C17" s="10" t="s">
        <v>15</v>
      </c>
      <c r="D17" s="10" t="s">
        <v>16</v>
      </c>
      <c r="E17" s="10" t="s">
        <v>102</v>
      </c>
      <c r="F17" s="10" t="s">
        <v>103</v>
      </c>
      <c r="G17" s="10">
        <v>5008.0</v>
      </c>
      <c r="H17" s="10" t="s">
        <v>104</v>
      </c>
      <c r="I17" s="10" t="s">
        <v>20</v>
      </c>
      <c r="J17" s="10" t="s">
        <v>105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9" t="s">
        <v>106</v>
      </c>
      <c r="B18" s="10" t="s">
        <v>107</v>
      </c>
      <c r="C18" s="10"/>
      <c r="D18" s="10" t="s">
        <v>88</v>
      </c>
      <c r="E18" s="10" t="s">
        <v>108</v>
      </c>
      <c r="F18" s="10" t="s">
        <v>109</v>
      </c>
      <c r="G18" s="10">
        <v>5084.0</v>
      </c>
      <c r="H18" s="12" t="s">
        <v>104</v>
      </c>
      <c r="I18" s="12" t="s">
        <v>20</v>
      </c>
      <c r="J18" s="10"/>
      <c r="K18" s="10" t="s">
        <v>110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9" t="s">
        <v>111</v>
      </c>
      <c r="B19" s="10" t="s">
        <v>112</v>
      </c>
      <c r="C19" s="10" t="s">
        <v>46</v>
      </c>
      <c r="D19" s="10" t="s">
        <v>47</v>
      </c>
      <c r="E19" s="10" t="s">
        <v>113</v>
      </c>
      <c r="F19" s="10" t="s">
        <v>114</v>
      </c>
      <c r="G19" s="10">
        <v>6112.0</v>
      </c>
      <c r="H19" s="12" t="s">
        <v>41</v>
      </c>
      <c r="I19" s="12" t="s">
        <v>20</v>
      </c>
      <c r="J19" s="10" t="s">
        <v>115</v>
      </c>
      <c r="K19" s="1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9" t="s">
        <v>116</v>
      </c>
      <c r="B20" s="10" t="s">
        <v>117</v>
      </c>
      <c r="C20" s="10" t="s">
        <v>15</v>
      </c>
      <c r="D20" s="10" t="s">
        <v>16</v>
      </c>
      <c r="E20" s="10" t="s">
        <v>118</v>
      </c>
      <c r="F20" s="10" t="s">
        <v>119</v>
      </c>
      <c r="G20" s="10">
        <v>4558.0</v>
      </c>
      <c r="H20" s="12" t="s">
        <v>33</v>
      </c>
      <c r="I20" s="12" t="s">
        <v>20</v>
      </c>
      <c r="J20" s="10" t="s">
        <v>120</v>
      </c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9" t="s">
        <v>121</v>
      </c>
      <c r="B21" s="10" t="s">
        <v>122</v>
      </c>
      <c r="C21" s="10"/>
      <c r="D21" s="10" t="s">
        <v>16</v>
      </c>
      <c r="E21" s="10" t="s">
        <v>123</v>
      </c>
      <c r="F21" s="10" t="s">
        <v>124</v>
      </c>
      <c r="G21" s="10">
        <v>4575.0</v>
      </c>
      <c r="H21" s="12" t="s">
        <v>33</v>
      </c>
      <c r="I21" s="12" t="s">
        <v>20</v>
      </c>
      <c r="J21" s="10" t="s">
        <v>125</v>
      </c>
      <c r="K21" s="1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9" t="s">
        <v>126</v>
      </c>
      <c r="B22" s="10" t="s">
        <v>127</v>
      </c>
      <c r="C22" s="10" t="s">
        <v>15</v>
      </c>
      <c r="D22" s="10" t="s">
        <v>30</v>
      </c>
      <c r="E22" s="10" t="s">
        <v>128</v>
      </c>
      <c r="F22" s="10" t="s">
        <v>129</v>
      </c>
      <c r="G22" s="10">
        <v>2913.0</v>
      </c>
      <c r="H22" s="12" t="s">
        <v>130</v>
      </c>
      <c r="I22" s="12" t="s">
        <v>20</v>
      </c>
      <c r="J22" s="10" t="s">
        <v>131</v>
      </c>
      <c r="K22" s="10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9" t="s">
        <v>132</v>
      </c>
      <c r="B23" s="10" t="s">
        <v>133</v>
      </c>
      <c r="C23" s="10" t="s">
        <v>15</v>
      </c>
      <c r="D23" s="10" t="s">
        <v>16</v>
      </c>
      <c r="E23" s="10" t="s">
        <v>134</v>
      </c>
      <c r="F23" s="10" t="s">
        <v>135</v>
      </c>
      <c r="G23" s="10">
        <v>2747.0</v>
      </c>
      <c r="H23" s="12" t="s">
        <v>50</v>
      </c>
      <c r="I23" s="12" t="s">
        <v>20</v>
      </c>
      <c r="J23" s="10" t="s">
        <v>136</v>
      </c>
      <c r="K23" s="10" t="s">
        <v>137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9" t="s">
        <v>75</v>
      </c>
      <c r="B24" s="10" t="s">
        <v>76</v>
      </c>
      <c r="C24" s="10"/>
      <c r="D24" s="10" t="s">
        <v>47</v>
      </c>
      <c r="E24" s="10" t="s">
        <v>77</v>
      </c>
      <c r="F24" s="10" t="s">
        <v>78</v>
      </c>
      <c r="G24" s="10">
        <v>2290.0</v>
      </c>
      <c r="H24" s="10" t="s">
        <v>50</v>
      </c>
      <c r="I24" s="10" t="s">
        <v>20</v>
      </c>
      <c r="J24" s="10" t="s">
        <v>79</v>
      </c>
      <c r="K24" s="10" t="s">
        <v>138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9" t="s">
        <v>139</v>
      </c>
      <c r="B25" s="10" t="s">
        <v>140</v>
      </c>
      <c r="C25" s="10"/>
      <c r="D25" s="10" t="s">
        <v>141</v>
      </c>
      <c r="E25" s="10"/>
      <c r="F25" s="10"/>
      <c r="G25" s="10"/>
      <c r="H25" s="10"/>
      <c r="I25" s="10"/>
      <c r="J25" s="10" t="s">
        <v>142</v>
      </c>
      <c r="K25" s="10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9" t="s">
        <v>143</v>
      </c>
      <c r="B26" s="12" t="s">
        <v>144</v>
      </c>
      <c r="C26" s="12" t="s">
        <v>15</v>
      </c>
      <c r="D26" s="12" t="s">
        <v>16</v>
      </c>
      <c r="E26" s="12" t="s">
        <v>145</v>
      </c>
      <c r="F26" s="12" t="s">
        <v>146</v>
      </c>
      <c r="G26" s="12">
        <v>2300.0</v>
      </c>
      <c r="H26" s="12" t="s">
        <v>50</v>
      </c>
      <c r="I26" s="12" t="s">
        <v>20</v>
      </c>
      <c r="J26" s="12" t="s">
        <v>147</v>
      </c>
      <c r="K26" s="12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>
      <c r="A27" s="9" t="s">
        <v>148</v>
      </c>
      <c r="B27" s="10" t="s">
        <v>149</v>
      </c>
      <c r="C27" s="10"/>
      <c r="D27" s="10" t="s">
        <v>150</v>
      </c>
      <c r="E27" s="10" t="s">
        <v>151</v>
      </c>
      <c r="F27" s="10" t="s">
        <v>152</v>
      </c>
      <c r="G27" s="10">
        <v>2210.0</v>
      </c>
      <c r="H27" s="10" t="s">
        <v>50</v>
      </c>
      <c r="I27" s="10" t="s">
        <v>20</v>
      </c>
      <c r="J27" s="10"/>
      <c r="K27" s="10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9" t="s">
        <v>153</v>
      </c>
      <c r="B28" s="10" t="s">
        <v>154</v>
      </c>
      <c r="C28" s="10"/>
      <c r="D28" s="10" t="s">
        <v>150</v>
      </c>
      <c r="E28" s="10" t="s">
        <v>155</v>
      </c>
      <c r="F28" s="10" t="s">
        <v>156</v>
      </c>
      <c r="G28" s="10">
        <v>2035.0</v>
      </c>
      <c r="H28" s="10" t="s">
        <v>50</v>
      </c>
      <c r="I28" s="10" t="s">
        <v>20</v>
      </c>
      <c r="J28" s="10" t="s">
        <v>157</v>
      </c>
      <c r="K28" s="10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9" t="s">
        <v>158</v>
      </c>
      <c r="B29" s="10" t="s">
        <v>159</v>
      </c>
      <c r="C29" s="10" t="s">
        <v>37</v>
      </c>
      <c r="D29" s="10" t="s">
        <v>150</v>
      </c>
      <c r="E29" s="10" t="s">
        <v>160</v>
      </c>
      <c r="F29" s="10" t="s">
        <v>161</v>
      </c>
      <c r="G29" s="10">
        <v>2525.0</v>
      </c>
      <c r="H29" s="10" t="s">
        <v>50</v>
      </c>
      <c r="I29" s="10" t="s">
        <v>20</v>
      </c>
      <c r="J29" s="10" t="s">
        <v>162</v>
      </c>
      <c r="K29" s="10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9" t="s">
        <v>163</v>
      </c>
      <c r="B30" s="10" t="s">
        <v>164</v>
      </c>
      <c r="C30" s="10" t="s">
        <v>15</v>
      </c>
      <c r="D30" s="10" t="s">
        <v>165</v>
      </c>
      <c r="E30" s="10" t="s">
        <v>166</v>
      </c>
      <c r="F30" s="10" t="s">
        <v>167</v>
      </c>
      <c r="G30" s="10">
        <v>3146.0</v>
      </c>
      <c r="H30" s="10" t="s">
        <v>19</v>
      </c>
      <c r="I30" s="10" t="s">
        <v>20</v>
      </c>
      <c r="J30" s="10" t="s">
        <v>168</v>
      </c>
      <c r="K30" s="10" t="s">
        <v>169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9" t="s">
        <v>170</v>
      </c>
      <c r="B31" s="10" t="s">
        <v>171</v>
      </c>
      <c r="C31" s="10"/>
      <c r="D31" s="10" t="s">
        <v>150</v>
      </c>
      <c r="E31" s="10" t="s">
        <v>172</v>
      </c>
      <c r="F31" s="10" t="s">
        <v>173</v>
      </c>
      <c r="G31" s="10">
        <v>2023.0</v>
      </c>
      <c r="H31" s="10" t="s">
        <v>50</v>
      </c>
      <c r="I31" s="10" t="s">
        <v>20</v>
      </c>
      <c r="J31" s="10"/>
      <c r="K31" s="10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9" t="s">
        <v>174</v>
      </c>
      <c r="B32" s="10" t="s">
        <v>175</v>
      </c>
      <c r="C32" s="10"/>
      <c r="D32" s="10" t="s">
        <v>176</v>
      </c>
      <c r="E32" s="10" t="s">
        <v>177</v>
      </c>
      <c r="F32" s="10" t="s">
        <v>178</v>
      </c>
      <c r="G32" s="10">
        <v>6725.0</v>
      </c>
      <c r="H32" s="10" t="s">
        <v>41</v>
      </c>
      <c r="I32" s="10" t="s">
        <v>20</v>
      </c>
      <c r="J32" s="10"/>
      <c r="K32" s="10" t="s">
        <v>179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9" t="s">
        <v>180</v>
      </c>
      <c r="B33" s="10" t="s">
        <v>181</v>
      </c>
      <c r="C33" s="10"/>
      <c r="D33" s="10" t="s">
        <v>182</v>
      </c>
      <c r="E33" s="10" t="s">
        <v>183</v>
      </c>
      <c r="F33" s="10" t="s">
        <v>184</v>
      </c>
      <c r="G33" s="10">
        <v>4551.0</v>
      </c>
      <c r="H33" s="10" t="s">
        <v>33</v>
      </c>
      <c r="I33" s="10" t="s">
        <v>20</v>
      </c>
      <c r="J33" s="10"/>
      <c r="K33" s="10" t="s">
        <v>185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9" t="s">
        <v>186</v>
      </c>
      <c r="B34" s="10" t="s">
        <v>187</v>
      </c>
      <c r="C34" s="10" t="s">
        <v>15</v>
      </c>
      <c r="D34" s="10" t="s">
        <v>188</v>
      </c>
      <c r="E34" s="21" t="s">
        <v>189</v>
      </c>
      <c r="F34" s="10" t="s">
        <v>190</v>
      </c>
      <c r="G34" s="10">
        <v>3012.0</v>
      </c>
      <c r="H34" s="10" t="s">
        <v>19</v>
      </c>
      <c r="I34" s="10" t="s">
        <v>20</v>
      </c>
      <c r="J34" s="10" t="s">
        <v>191</v>
      </c>
      <c r="K34" s="10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9" t="s">
        <v>192</v>
      </c>
      <c r="B35" s="10" t="s">
        <v>193</v>
      </c>
      <c r="C35" s="10" t="s">
        <v>15</v>
      </c>
      <c r="D35" s="12" t="s">
        <v>54</v>
      </c>
      <c r="E35" s="21" t="s">
        <v>194</v>
      </c>
      <c r="F35" s="10" t="s">
        <v>195</v>
      </c>
      <c r="G35" s="10">
        <v>3977.0</v>
      </c>
      <c r="H35" s="10" t="s">
        <v>19</v>
      </c>
      <c r="I35" s="10" t="s">
        <v>20</v>
      </c>
      <c r="J35" s="10"/>
      <c r="K35" s="10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9" t="s">
        <v>196</v>
      </c>
      <c r="B36" s="10" t="s">
        <v>197</v>
      </c>
      <c r="C36" s="10"/>
      <c r="D36" s="12" t="s">
        <v>198</v>
      </c>
      <c r="E36" s="10" t="s">
        <v>199</v>
      </c>
      <c r="F36" s="10" t="s">
        <v>200</v>
      </c>
      <c r="G36" s="10">
        <v>4207.0</v>
      </c>
      <c r="H36" s="10" t="s">
        <v>33</v>
      </c>
      <c r="I36" s="10" t="s">
        <v>20</v>
      </c>
      <c r="J36" s="10"/>
      <c r="K36" s="10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9" t="s">
        <v>201</v>
      </c>
      <c r="B37" s="10" t="s">
        <v>202</v>
      </c>
      <c r="C37" s="10" t="s">
        <v>15</v>
      </c>
      <c r="D37" s="12" t="s">
        <v>38</v>
      </c>
      <c r="E37" s="10" t="s">
        <v>203</v>
      </c>
      <c r="F37" s="10" t="s">
        <v>204</v>
      </c>
      <c r="G37" s="10">
        <v>4032.0</v>
      </c>
      <c r="H37" s="10" t="s">
        <v>33</v>
      </c>
      <c r="I37" s="10" t="s">
        <v>20</v>
      </c>
      <c r="J37" s="10" t="s">
        <v>205</v>
      </c>
      <c r="K37" s="10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9" t="s">
        <v>206</v>
      </c>
      <c r="B38" s="10" t="s">
        <v>207</v>
      </c>
      <c r="D38" s="12" t="s">
        <v>208</v>
      </c>
      <c r="E38" s="10" t="s">
        <v>209</v>
      </c>
      <c r="F38" s="10" t="s">
        <v>210</v>
      </c>
      <c r="G38" s="10">
        <v>4703.0</v>
      </c>
      <c r="H38" s="10" t="s">
        <v>33</v>
      </c>
      <c r="I38" s="10" t="s">
        <v>20</v>
      </c>
      <c r="J38" s="10" t="s">
        <v>211</v>
      </c>
      <c r="K38" s="10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22" t="s">
        <v>212</v>
      </c>
      <c r="B39" s="10" t="s">
        <v>213</v>
      </c>
      <c r="C39" s="23"/>
      <c r="D39" s="23" t="s">
        <v>214</v>
      </c>
      <c r="E39" s="23" t="s">
        <v>215</v>
      </c>
      <c r="F39" s="23" t="s">
        <v>216</v>
      </c>
      <c r="G39" s="23">
        <v>3910.0</v>
      </c>
      <c r="H39" s="23" t="s">
        <v>19</v>
      </c>
      <c r="I39" s="23" t="s">
        <v>20</v>
      </c>
      <c r="J39" s="24"/>
      <c r="K39" s="24"/>
      <c r="L39" s="23" t="s">
        <v>217</v>
      </c>
      <c r="M39" s="24"/>
      <c r="N39" s="24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>
      <c r="A40" s="9" t="s">
        <v>218</v>
      </c>
      <c r="B40" s="10" t="s">
        <v>219</v>
      </c>
      <c r="C40" s="10"/>
      <c r="D40" s="12" t="s">
        <v>38</v>
      </c>
      <c r="E40" s="10" t="s">
        <v>220</v>
      </c>
      <c r="F40" s="10" t="s">
        <v>221</v>
      </c>
      <c r="G40" s="10">
        <v>2280.0</v>
      </c>
      <c r="H40" s="10" t="s">
        <v>50</v>
      </c>
      <c r="I40" s="10" t="s">
        <v>20</v>
      </c>
      <c r="J40" s="10" t="s">
        <v>222</v>
      </c>
      <c r="K40" s="10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0"/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6" t="s">
        <v>223</v>
      </c>
      <c r="B44" s="7"/>
      <c r="C44" s="8"/>
      <c r="D44" s="7"/>
      <c r="E44" s="7"/>
      <c r="F44" s="7"/>
      <c r="G44" s="7"/>
      <c r="H44" s="7"/>
      <c r="I44" s="7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>
      <c r="A45" s="19" t="s">
        <v>224</v>
      </c>
      <c r="B45" s="12" t="s">
        <v>225</v>
      </c>
      <c r="C45" s="12" t="s">
        <v>15</v>
      </c>
      <c r="D45" s="10" t="s">
        <v>16</v>
      </c>
      <c r="E45" s="12" t="s">
        <v>226</v>
      </c>
      <c r="F45" s="12" t="s">
        <v>227</v>
      </c>
      <c r="G45" s="12" t="s">
        <v>228</v>
      </c>
      <c r="H45" s="12" t="s">
        <v>229</v>
      </c>
      <c r="I45" s="12" t="s">
        <v>230</v>
      </c>
      <c r="J45" s="12" t="s">
        <v>231</v>
      </c>
      <c r="K45" s="12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>
      <c r="A46" s="19" t="s">
        <v>232</v>
      </c>
      <c r="B46" s="12" t="s">
        <v>233</v>
      </c>
      <c r="C46" s="12" t="s">
        <v>15</v>
      </c>
      <c r="D46" s="10" t="s">
        <v>16</v>
      </c>
      <c r="E46" s="12" t="s">
        <v>234</v>
      </c>
      <c r="F46" s="12" t="s">
        <v>235</v>
      </c>
      <c r="G46" s="12" t="s">
        <v>236</v>
      </c>
      <c r="H46" s="12" t="s">
        <v>237</v>
      </c>
      <c r="I46" s="12" t="s">
        <v>230</v>
      </c>
      <c r="J46" s="12" t="s">
        <v>238</v>
      </c>
      <c r="K46" s="12"/>
      <c r="L46" s="12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>
      <c r="A47" s="9" t="s">
        <v>239</v>
      </c>
      <c r="B47" s="10" t="s">
        <v>240</v>
      </c>
      <c r="C47" s="10"/>
      <c r="D47" s="12" t="s">
        <v>47</v>
      </c>
      <c r="E47" s="10" t="s">
        <v>241</v>
      </c>
      <c r="F47" s="10" t="s">
        <v>242</v>
      </c>
      <c r="G47" s="10" t="s">
        <v>243</v>
      </c>
      <c r="H47" s="10" t="s">
        <v>244</v>
      </c>
      <c r="I47" s="12" t="s">
        <v>230</v>
      </c>
      <c r="J47" s="10" t="s">
        <v>245</v>
      </c>
      <c r="K47" s="10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9" t="s">
        <v>246</v>
      </c>
      <c r="B48" s="25" t="s">
        <v>247</v>
      </c>
      <c r="C48" s="12" t="s">
        <v>15</v>
      </c>
      <c r="D48" s="12" t="s">
        <v>198</v>
      </c>
      <c r="E48" s="12" t="s">
        <v>248</v>
      </c>
      <c r="F48" s="12" t="s">
        <v>249</v>
      </c>
      <c r="G48" s="12" t="s">
        <v>250</v>
      </c>
      <c r="H48" s="20"/>
      <c r="I48" s="12" t="s">
        <v>230</v>
      </c>
      <c r="J48" s="12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>
      <c r="A49" s="19" t="s">
        <v>251</v>
      </c>
      <c r="B49" s="12" t="s">
        <v>252</v>
      </c>
      <c r="C49" s="12" t="s">
        <v>15</v>
      </c>
      <c r="D49" s="12" t="s">
        <v>47</v>
      </c>
      <c r="E49" s="12" t="s">
        <v>253</v>
      </c>
      <c r="F49" s="12" t="s">
        <v>254</v>
      </c>
      <c r="G49" s="12" t="s">
        <v>255</v>
      </c>
      <c r="H49" s="20"/>
      <c r="I49" s="12" t="s">
        <v>230</v>
      </c>
      <c r="J49" s="12" t="s">
        <v>256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>
      <c r="A50" s="19" t="s">
        <v>257</v>
      </c>
      <c r="B50" s="12" t="s">
        <v>258</v>
      </c>
      <c r="C50" s="12" t="s">
        <v>15</v>
      </c>
      <c r="D50" s="10" t="s">
        <v>16</v>
      </c>
      <c r="E50" s="12" t="s">
        <v>259</v>
      </c>
      <c r="F50" s="12" t="s">
        <v>260</v>
      </c>
      <c r="G50" s="12" t="s">
        <v>261</v>
      </c>
      <c r="H50" s="12" t="s">
        <v>262</v>
      </c>
      <c r="I50" s="12" t="s">
        <v>230</v>
      </c>
      <c r="J50" s="12" t="s">
        <v>263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>
      <c r="A51" s="19" t="s">
        <v>264</v>
      </c>
      <c r="B51" s="12" t="s">
        <v>265</v>
      </c>
      <c r="C51" s="12" t="s">
        <v>15</v>
      </c>
      <c r="D51" s="10" t="s">
        <v>16</v>
      </c>
      <c r="E51" s="12" t="s">
        <v>266</v>
      </c>
      <c r="F51" s="12" t="s">
        <v>267</v>
      </c>
      <c r="G51" s="12" t="s">
        <v>268</v>
      </c>
      <c r="H51" s="12" t="s">
        <v>269</v>
      </c>
      <c r="I51" s="12" t="s">
        <v>230</v>
      </c>
      <c r="J51" s="12" t="s">
        <v>270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>
      <c r="A52" s="19" t="s">
        <v>271</v>
      </c>
      <c r="B52" s="12" t="s">
        <v>272</v>
      </c>
      <c r="C52" s="20"/>
      <c r="D52" s="10" t="s">
        <v>273</v>
      </c>
      <c r="E52" s="12" t="s">
        <v>274</v>
      </c>
      <c r="F52" s="12" t="s">
        <v>275</v>
      </c>
      <c r="G52" s="12" t="s">
        <v>276</v>
      </c>
      <c r="H52" s="12" t="s">
        <v>277</v>
      </c>
      <c r="I52" s="12" t="s">
        <v>230</v>
      </c>
      <c r="J52" s="12" t="s">
        <v>278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>
      <c r="A53" s="19" t="s">
        <v>279</v>
      </c>
      <c r="B53" s="12" t="s">
        <v>280</v>
      </c>
      <c r="C53" s="12" t="s">
        <v>15</v>
      </c>
      <c r="D53" s="10" t="s">
        <v>16</v>
      </c>
      <c r="E53" s="12" t="s">
        <v>281</v>
      </c>
      <c r="F53" s="12" t="s">
        <v>282</v>
      </c>
      <c r="G53" s="12" t="s">
        <v>283</v>
      </c>
      <c r="H53" s="12"/>
      <c r="I53" s="12" t="s">
        <v>230</v>
      </c>
      <c r="J53" s="12" t="s">
        <v>284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>
      <c r="A54" s="19" t="s">
        <v>285</v>
      </c>
      <c r="B54" s="12" t="s">
        <v>286</v>
      </c>
      <c r="C54" s="12" t="s">
        <v>46</v>
      </c>
      <c r="D54" s="10" t="s">
        <v>16</v>
      </c>
      <c r="E54" s="12" t="s">
        <v>287</v>
      </c>
      <c r="F54" s="12" t="s">
        <v>288</v>
      </c>
      <c r="G54" s="12" t="s">
        <v>289</v>
      </c>
      <c r="H54" s="12"/>
      <c r="I54" s="12" t="s">
        <v>230</v>
      </c>
      <c r="J54" s="12" t="s">
        <v>290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>
      <c r="A55" s="19" t="s">
        <v>291</v>
      </c>
      <c r="B55" s="12" t="s">
        <v>292</v>
      </c>
      <c r="C55" s="20"/>
      <c r="D55" s="12" t="s">
        <v>198</v>
      </c>
      <c r="E55" s="12" t="s">
        <v>293</v>
      </c>
      <c r="F55" s="12" t="s">
        <v>294</v>
      </c>
      <c r="G55" s="12" t="s">
        <v>295</v>
      </c>
      <c r="H55" s="12" t="s">
        <v>296</v>
      </c>
      <c r="I55" s="12" t="s">
        <v>230</v>
      </c>
      <c r="J55" s="12" t="s">
        <v>297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>
      <c r="A56" s="19" t="s">
        <v>298</v>
      </c>
      <c r="B56" s="12" t="s">
        <v>299</v>
      </c>
      <c r="C56" s="12" t="s">
        <v>300</v>
      </c>
      <c r="D56" s="10" t="s">
        <v>16</v>
      </c>
      <c r="E56" s="12" t="s">
        <v>301</v>
      </c>
      <c r="F56" s="12" t="s">
        <v>302</v>
      </c>
      <c r="G56" s="12" t="s">
        <v>303</v>
      </c>
      <c r="H56" s="12"/>
      <c r="I56" s="12" t="s">
        <v>230</v>
      </c>
      <c r="J56" s="12" t="s">
        <v>304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>
      <c r="A57" s="19" t="s">
        <v>305</v>
      </c>
      <c r="B57" s="12" t="s">
        <v>306</v>
      </c>
      <c r="C57" s="12" t="s">
        <v>15</v>
      </c>
      <c r="D57" s="12" t="s">
        <v>65</v>
      </c>
      <c r="E57" s="12" t="s">
        <v>307</v>
      </c>
      <c r="F57" s="12" t="s">
        <v>308</v>
      </c>
      <c r="G57" s="12" t="s">
        <v>309</v>
      </c>
      <c r="H57" s="12" t="s">
        <v>310</v>
      </c>
      <c r="I57" s="12" t="s">
        <v>230</v>
      </c>
      <c r="J57" s="12" t="s">
        <v>311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>
      <c r="A58" s="19" t="s">
        <v>312</v>
      </c>
      <c r="B58" s="12" t="s">
        <v>313</v>
      </c>
      <c r="C58" s="12" t="s">
        <v>15</v>
      </c>
      <c r="D58" s="12" t="s">
        <v>273</v>
      </c>
      <c r="E58" s="12" t="s">
        <v>314</v>
      </c>
      <c r="F58" s="12" t="s">
        <v>315</v>
      </c>
      <c r="G58" s="12" t="s">
        <v>316</v>
      </c>
      <c r="H58" s="12" t="s">
        <v>317</v>
      </c>
      <c r="I58" s="12" t="s">
        <v>230</v>
      </c>
      <c r="J58" s="12" t="s">
        <v>318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>
      <c r="A59" s="19" t="s">
        <v>319</v>
      </c>
      <c r="B59" s="12" t="s">
        <v>320</v>
      </c>
      <c r="C59" s="20"/>
      <c r="D59" s="10" t="s">
        <v>16</v>
      </c>
      <c r="E59" s="12" t="s">
        <v>321</v>
      </c>
      <c r="F59" s="12" t="s">
        <v>322</v>
      </c>
      <c r="G59" s="12" t="s">
        <v>323</v>
      </c>
      <c r="H59" s="12" t="s">
        <v>324</v>
      </c>
      <c r="I59" s="12" t="s">
        <v>230</v>
      </c>
      <c r="J59" s="12" t="s">
        <v>325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>
      <c r="A60" s="19" t="s">
        <v>326</v>
      </c>
      <c r="B60" s="12" t="s">
        <v>327</v>
      </c>
      <c r="C60" s="20"/>
      <c r="D60" s="12" t="s">
        <v>328</v>
      </c>
      <c r="E60" s="12" t="s">
        <v>329</v>
      </c>
      <c r="F60" s="12" t="s">
        <v>330</v>
      </c>
      <c r="G60" s="12" t="s">
        <v>331</v>
      </c>
      <c r="H60" s="12" t="s">
        <v>330</v>
      </c>
      <c r="I60" s="12" t="s">
        <v>230</v>
      </c>
      <c r="J60" s="12" t="s">
        <v>332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>
      <c r="A61" s="19" t="s">
        <v>333</v>
      </c>
      <c r="B61" s="12" t="s">
        <v>334</v>
      </c>
      <c r="C61" s="20"/>
      <c r="D61" s="12" t="s">
        <v>328</v>
      </c>
      <c r="E61" s="12" t="s">
        <v>335</v>
      </c>
      <c r="F61" s="12" t="s">
        <v>336</v>
      </c>
      <c r="G61" s="12" t="s">
        <v>337</v>
      </c>
      <c r="H61" s="12" t="s">
        <v>282</v>
      </c>
      <c r="I61" s="12" t="s">
        <v>230</v>
      </c>
      <c r="J61" s="12" t="s">
        <v>338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>
      <c r="A62" s="19" t="s">
        <v>339</v>
      </c>
      <c r="B62" s="12" t="s">
        <v>340</v>
      </c>
      <c r="C62" s="12" t="s">
        <v>15</v>
      </c>
      <c r="D62" s="12" t="s">
        <v>341</v>
      </c>
      <c r="E62" s="12" t="s">
        <v>342</v>
      </c>
      <c r="F62" s="12" t="s">
        <v>343</v>
      </c>
      <c r="G62" s="12" t="s">
        <v>344</v>
      </c>
      <c r="H62" s="12" t="s">
        <v>345</v>
      </c>
      <c r="I62" s="12" t="s">
        <v>230</v>
      </c>
      <c r="J62" s="12" t="s">
        <v>346</v>
      </c>
      <c r="K62" s="12" t="s">
        <v>347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>
      <c r="A63" s="19" t="s">
        <v>348</v>
      </c>
      <c r="B63" s="12" t="s">
        <v>349</v>
      </c>
      <c r="C63" s="20"/>
      <c r="D63" s="12" t="s">
        <v>350</v>
      </c>
      <c r="E63" s="12" t="s">
        <v>351</v>
      </c>
      <c r="F63" s="21" t="s">
        <v>324</v>
      </c>
      <c r="G63" s="12" t="s">
        <v>352</v>
      </c>
      <c r="H63" s="12" t="s">
        <v>353</v>
      </c>
      <c r="I63" s="12" t="s">
        <v>230</v>
      </c>
      <c r="J63" s="12" t="s">
        <v>354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>
      <c r="A64" s="19" t="s">
        <v>355</v>
      </c>
      <c r="B64" s="12" t="s">
        <v>356</v>
      </c>
      <c r="C64" s="12" t="s">
        <v>15</v>
      </c>
      <c r="D64" s="12" t="s">
        <v>328</v>
      </c>
      <c r="E64" s="12" t="s">
        <v>357</v>
      </c>
      <c r="F64" s="21" t="s">
        <v>358</v>
      </c>
      <c r="G64" s="12" t="s">
        <v>359</v>
      </c>
      <c r="H64" s="12" t="s">
        <v>229</v>
      </c>
      <c r="I64" s="12" t="s">
        <v>230</v>
      </c>
      <c r="J64" s="12" t="s">
        <v>360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>
      <c r="A65" s="19" t="s">
        <v>361</v>
      </c>
      <c r="B65" s="12" t="s">
        <v>362</v>
      </c>
      <c r="C65" s="20"/>
      <c r="D65" s="12" t="s">
        <v>350</v>
      </c>
      <c r="E65" s="12" t="s">
        <v>363</v>
      </c>
      <c r="F65" s="21" t="s">
        <v>364</v>
      </c>
      <c r="G65" s="12" t="s">
        <v>365</v>
      </c>
      <c r="H65" s="12" t="s">
        <v>324</v>
      </c>
      <c r="I65" s="12" t="s">
        <v>230</v>
      </c>
      <c r="J65" s="12" t="s">
        <v>366</v>
      </c>
      <c r="K65" s="12" t="s">
        <v>367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>
      <c r="A66" s="19" t="s">
        <v>285</v>
      </c>
      <c r="B66" s="12" t="s">
        <v>286</v>
      </c>
      <c r="C66" s="12" t="s">
        <v>15</v>
      </c>
      <c r="D66" s="12" t="s">
        <v>328</v>
      </c>
      <c r="E66" s="12" t="s">
        <v>287</v>
      </c>
      <c r="F66" s="12" t="s">
        <v>288</v>
      </c>
      <c r="G66" s="12" t="s">
        <v>289</v>
      </c>
      <c r="H66" s="12"/>
      <c r="I66" s="12" t="s">
        <v>230</v>
      </c>
      <c r="J66" s="12" t="s">
        <v>290</v>
      </c>
      <c r="K66" s="12" t="s">
        <v>368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>
      <c r="A67" s="19" t="s">
        <v>369</v>
      </c>
      <c r="B67" s="12" t="s">
        <v>370</v>
      </c>
      <c r="C67" s="12"/>
      <c r="D67" s="12" t="s">
        <v>371</v>
      </c>
      <c r="E67" s="12" t="s">
        <v>372</v>
      </c>
      <c r="F67" s="12" t="s">
        <v>373</v>
      </c>
      <c r="G67" s="12" t="s">
        <v>374</v>
      </c>
      <c r="H67" s="12" t="s">
        <v>375</v>
      </c>
      <c r="I67" s="12" t="s">
        <v>230</v>
      </c>
      <c r="J67" s="12" t="s">
        <v>376</v>
      </c>
      <c r="K67" s="12" t="s">
        <v>377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>
      <c r="A68" s="19" t="s">
        <v>378</v>
      </c>
      <c r="B68" s="12" t="s">
        <v>379</v>
      </c>
      <c r="C68" s="12"/>
      <c r="D68" s="12" t="s">
        <v>380</v>
      </c>
      <c r="E68" s="12" t="s">
        <v>381</v>
      </c>
      <c r="F68" s="12" t="s">
        <v>382</v>
      </c>
      <c r="G68" s="12" t="s">
        <v>383</v>
      </c>
      <c r="H68" s="12" t="s">
        <v>384</v>
      </c>
      <c r="I68" s="12" t="s">
        <v>230</v>
      </c>
      <c r="J68" s="12" t="s">
        <v>385</v>
      </c>
      <c r="K68" s="12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>
      <c r="A69" s="19" t="s">
        <v>386</v>
      </c>
      <c r="B69" s="12" t="s">
        <v>387</v>
      </c>
      <c r="C69" s="12"/>
      <c r="D69" s="12" t="s">
        <v>388</v>
      </c>
      <c r="E69" s="12" t="s">
        <v>389</v>
      </c>
      <c r="F69" s="12" t="s">
        <v>322</v>
      </c>
      <c r="G69" s="12" t="s">
        <v>390</v>
      </c>
      <c r="H69" s="12" t="s">
        <v>324</v>
      </c>
      <c r="I69" s="12" t="s">
        <v>230</v>
      </c>
      <c r="J69" s="12" t="s">
        <v>391</v>
      </c>
      <c r="K69" s="21" t="s">
        <v>392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21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21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21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21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>
      <c r="A74" s="12"/>
      <c r="B74" s="12"/>
      <c r="C74" s="20"/>
      <c r="D74" s="12"/>
      <c r="E74" s="12"/>
      <c r="F74" s="12"/>
      <c r="G74" s="12"/>
      <c r="H74" s="12"/>
      <c r="I74" s="12"/>
      <c r="J74" s="12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>
      <c r="A75" s="26" t="s">
        <v>393</v>
      </c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>
      <c r="A76" s="19" t="s">
        <v>394</v>
      </c>
      <c r="B76" s="12" t="s">
        <v>395</v>
      </c>
      <c r="C76" s="12"/>
      <c r="D76" s="12" t="s">
        <v>396</v>
      </c>
      <c r="E76" s="12" t="s">
        <v>397</v>
      </c>
      <c r="F76" s="12" t="s">
        <v>398</v>
      </c>
      <c r="G76" s="12">
        <v>78045.0</v>
      </c>
      <c r="H76" s="12" t="s">
        <v>399</v>
      </c>
      <c r="I76" s="12" t="s">
        <v>400</v>
      </c>
      <c r="J76" s="12" t="s">
        <v>401</v>
      </c>
      <c r="K76" s="12" t="s">
        <v>402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>
      <c r="A77" s="19" t="s">
        <v>403</v>
      </c>
      <c r="B77" s="29" t="s">
        <v>404</v>
      </c>
      <c r="C77" s="12" t="s">
        <v>15</v>
      </c>
      <c r="D77" s="12" t="s">
        <v>150</v>
      </c>
      <c r="E77" s="12" t="s">
        <v>405</v>
      </c>
      <c r="F77" s="12" t="s">
        <v>406</v>
      </c>
      <c r="G77" s="12">
        <v>1051.0</v>
      </c>
      <c r="H77" s="12" t="s">
        <v>407</v>
      </c>
      <c r="I77" s="12" t="s">
        <v>408</v>
      </c>
      <c r="J77" s="12"/>
      <c r="K77" s="12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>
      <c r="A78" s="19" t="s">
        <v>409</v>
      </c>
      <c r="B78" s="29" t="s">
        <v>410</v>
      </c>
      <c r="C78" s="12" t="s">
        <v>15</v>
      </c>
      <c r="D78" s="12" t="s">
        <v>411</v>
      </c>
      <c r="E78" s="12" t="s">
        <v>412</v>
      </c>
      <c r="F78" s="12" t="s">
        <v>413</v>
      </c>
      <c r="G78" s="12">
        <v>5010.0</v>
      </c>
      <c r="H78" s="12" t="s">
        <v>414</v>
      </c>
      <c r="I78" s="12" t="s">
        <v>408</v>
      </c>
      <c r="J78" s="12" t="s">
        <v>415</v>
      </c>
      <c r="K78" s="12" t="s">
        <v>416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>
      <c r="A79" s="12" t="s">
        <v>394</v>
      </c>
      <c r="B79" s="12" t="s">
        <v>395</v>
      </c>
      <c r="C79" s="12"/>
      <c r="D79" s="12" t="s">
        <v>417</v>
      </c>
      <c r="E79" s="12" t="s">
        <v>397</v>
      </c>
      <c r="F79" s="12" t="s">
        <v>398</v>
      </c>
      <c r="G79" s="12">
        <v>78045.0</v>
      </c>
      <c r="H79" s="12" t="s">
        <v>399</v>
      </c>
      <c r="I79" s="12" t="s">
        <v>400</v>
      </c>
      <c r="J79" s="12" t="s">
        <v>401</v>
      </c>
      <c r="K79" s="12" t="s">
        <v>418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>
      <c r="A80" s="19" t="s">
        <v>419</v>
      </c>
      <c r="B80" s="12" t="s">
        <v>420</v>
      </c>
      <c r="C80" s="12"/>
      <c r="D80" s="12" t="s">
        <v>421</v>
      </c>
      <c r="E80" s="12" t="s">
        <v>422</v>
      </c>
      <c r="F80" s="12" t="s">
        <v>423</v>
      </c>
      <c r="G80" s="12">
        <v>3216.0</v>
      </c>
      <c r="H80" s="12" t="s">
        <v>424</v>
      </c>
      <c r="I80" s="12" t="s">
        <v>408</v>
      </c>
      <c r="J80" s="12"/>
      <c r="K80" s="12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>
      <c r="A81" s="9" t="s">
        <v>425</v>
      </c>
      <c r="B81" s="10" t="s">
        <v>426</v>
      </c>
      <c r="C81" s="10" t="s">
        <v>15</v>
      </c>
      <c r="D81" s="10" t="s">
        <v>427</v>
      </c>
      <c r="E81" s="21" t="s">
        <v>428</v>
      </c>
      <c r="F81" s="10" t="s">
        <v>429</v>
      </c>
      <c r="G81" s="10">
        <v>4310.0</v>
      </c>
      <c r="H81" s="10" t="s">
        <v>430</v>
      </c>
      <c r="I81" s="10" t="s">
        <v>408</v>
      </c>
      <c r="J81" s="10" t="s">
        <v>431</v>
      </c>
      <c r="K81" s="10" t="s">
        <v>432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2" t="s">
        <v>433</v>
      </c>
      <c r="B82" s="12" t="s">
        <v>434</v>
      </c>
      <c r="C82" s="20"/>
      <c r="D82" s="30"/>
      <c r="E82" s="12" t="s">
        <v>435</v>
      </c>
      <c r="F82" s="12" t="s">
        <v>436</v>
      </c>
      <c r="G82" s="12">
        <v>75228.0</v>
      </c>
      <c r="H82" s="12" t="s">
        <v>399</v>
      </c>
      <c r="I82" s="12" t="s">
        <v>437</v>
      </c>
      <c r="J82" s="12" t="s">
        <v>438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>
      <c r="A83" s="12" t="s">
        <v>439</v>
      </c>
      <c r="B83" s="12" t="s">
        <v>440</v>
      </c>
      <c r="C83" s="12"/>
      <c r="D83" s="30"/>
      <c r="E83" s="12" t="s">
        <v>441</v>
      </c>
      <c r="F83" s="12" t="s">
        <v>442</v>
      </c>
      <c r="G83" s="12">
        <v>31050.0</v>
      </c>
      <c r="H83" s="12" t="s">
        <v>442</v>
      </c>
      <c r="I83" s="12" t="s">
        <v>443</v>
      </c>
      <c r="J83" s="12" t="s">
        <v>444</v>
      </c>
      <c r="K83" s="12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>
      <c r="A84" s="23"/>
      <c r="B84" s="23"/>
      <c r="C84" s="23"/>
      <c r="D84" s="12"/>
      <c r="E84" s="23"/>
      <c r="F84" s="23"/>
      <c r="G84" s="23"/>
      <c r="H84" s="23"/>
      <c r="I84" s="23"/>
      <c r="J84" s="23"/>
      <c r="K84" s="23"/>
      <c r="L84" s="23"/>
      <c r="M84" s="24"/>
      <c r="N84" s="24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>
      <c r="A86" s="12"/>
      <c r="B86" s="12"/>
      <c r="C86" s="20"/>
      <c r="D86" s="12"/>
      <c r="E86" s="12"/>
      <c r="F86" s="12"/>
      <c r="G86" s="12"/>
      <c r="H86" s="12"/>
      <c r="I86" s="12"/>
      <c r="J86" s="12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>
      <c r="A88" s="12"/>
      <c r="B88" s="12"/>
      <c r="C88" s="12"/>
      <c r="D88" s="12"/>
      <c r="E88" s="12"/>
      <c r="F88" s="12"/>
      <c r="G88" s="12"/>
      <c r="H88" s="20"/>
      <c r="I88" s="12"/>
      <c r="J88" s="12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>
      <c r="A89" s="12"/>
      <c r="B89" s="12"/>
      <c r="C89" s="20"/>
      <c r="E89" s="12"/>
      <c r="F89" s="12"/>
      <c r="G89" s="12"/>
      <c r="H89" s="12"/>
      <c r="I89" s="12"/>
      <c r="J89" s="12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>
      <c r="A91" s="31"/>
      <c r="B91" s="12"/>
      <c r="C91" s="20"/>
      <c r="E91" s="12"/>
      <c r="F91" s="12"/>
      <c r="G91" s="12"/>
      <c r="H91" s="12"/>
      <c r="I91" s="12"/>
      <c r="J91" s="12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>
      <c r="A92" s="31"/>
      <c r="B92" s="12"/>
      <c r="C92" s="12"/>
      <c r="D92" s="12"/>
      <c r="E92" s="12"/>
      <c r="F92" s="12"/>
      <c r="G92" s="12"/>
      <c r="H92" s="12"/>
      <c r="I92" s="12"/>
      <c r="J92" s="12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>
      <c r="A93" s="12"/>
      <c r="B93" s="12"/>
      <c r="C93" s="20"/>
      <c r="D93" s="12"/>
      <c r="E93" s="12"/>
      <c r="F93" s="12"/>
      <c r="G93" s="12"/>
      <c r="H93" s="12"/>
      <c r="I93" s="12"/>
      <c r="J93" s="12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>
      <c r="A94" s="12"/>
      <c r="B94" s="12"/>
      <c r="C94" s="20"/>
      <c r="D94" s="12"/>
      <c r="E94" s="12"/>
      <c r="F94" s="12"/>
      <c r="G94" s="12"/>
      <c r="H94" s="12"/>
      <c r="I94" s="12"/>
      <c r="J94" s="12"/>
      <c r="K94" s="12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>
      <c r="A95" s="31"/>
      <c r="B95" s="12"/>
      <c r="C95" s="20"/>
      <c r="D95" s="12"/>
      <c r="E95" s="12"/>
      <c r="F95" s="12"/>
      <c r="G95" s="12"/>
      <c r="H95" s="12"/>
      <c r="I95" s="12"/>
      <c r="J95" s="12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>
      <c r="A96" s="12"/>
      <c r="B96" s="12"/>
      <c r="C96" s="20"/>
      <c r="D96" s="12"/>
      <c r="E96" s="12"/>
      <c r="F96" s="12"/>
      <c r="G96" s="32"/>
      <c r="H96" s="12"/>
      <c r="I96" s="12"/>
      <c r="J96" s="12"/>
      <c r="K96" s="12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>
      <c r="A97" s="12"/>
      <c r="B97" s="12"/>
      <c r="C97" s="20"/>
      <c r="D97" s="12"/>
      <c r="E97" s="12"/>
      <c r="F97" s="12"/>
      <c r="G97" s="32"/>
      <c r="H97" s="12"/>
      <c r="I97" s="12"/>
      <c r="J97" s="12"/>
      <c r="K97" s="12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>
      <c r="A98" s="12"/>
      <c r="B98" s="12"/>
      <c r="C98" s="12"/>
      <c r="D98" s="23"/>
      <c r="E98" s="12"/>
      <c r="F98" s="12"/>
      <c r="G98" s="12"/>
      <c r="H98" s="12"/>
      <c r="I98" s="12"/>
      <c r="J98" s="12"/>
      <c r="K98" s="12"/>
      <c r="L98" s="12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>
      <c r="A99" s="12"/>
      <c r="B99" s="12"/>
      <c r="C99" s="12"/>
      <c r="D99" s="23"/>
      <c r="E99" s="12"/>
      <c r="F99" s="12"/>
      <c r="G99" s="12"/>
      <c r="H99" s="12"/>
      <c r="I99" s="12"/>
      <c r="J99" s="12"/>
      <c r="K99" s="12"/>
      <c r="L99" s="12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>
      <c r="A102" s="31"/>
      <c r="B102" s="12"/>
      <c r="C102" s="20"/>
      <c r="E102" s="12"/>
      <c r="F102" s="12"/>
      <c r="G102" s="12"/>
      <c r="H102" s="12"/>
      <c r="I102" s="12"/>
      <c r="J102" s="12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>
      <c r="A103" s="31"/>
      <c r="B103" s="12"/>
      <c r="C103" s="20"/>
      <c r="D103" s="12"/>
      <c r="E103" s="12"/>
      <c r="F103" s="12"/>
      <c r="G103" s="12"/>
      <c r="H103" s="12"/>
      <c r="I103" s="12"/>
      <c r="J103" s="12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>
      <c r="A104" s="23"/>
      <c r="B104" s="23"/>
      <c r="C104" s="23"/>
      <c r="D104" s="12"/>
      <c r="E104" s="23"/>
      <c r="F104" s="23"/>
      <c r="G104" s="23"/>
      <c r="H104" s="23"/>
      <c r="I104" s="23"/>
      <c r="K104" s="23"/>
      <c r="L104" s="23"/>
      <c r="M104" s="24"/>
      <c r="N104" s="24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>
      <c r="A105" s="12"/>
      <c r="B105" s="12"/>
      <c r="C105" s="20"/>
      <c r="D105" s="12"/>
      <c r="E105" s="12"/>
      <c r="F105" s="12"/>
      <c r="G105" s="12"/>
      <c r="H105" s="12"/>
      <c r="I105" s="12"/>
      <c r="J105" s="12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>
      <c r="A106" s="20"/>
      <c r="B106" s="20"/>
      <c r="C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>
      <c r="A107" s="20"/>
      <c r="B107" s="20"/>
      <c r="C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>
      <c r="A108" s="20"/>
      <c r="B108" s="20"/>
      <c r="C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>
      <c r="A109" s="20"/>
      <c r="B109" s="20"/>
      <c r="C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>
      <c r="A110" s="20"/>
      <c r="B110" s="20"/>
      <c r="C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>
      <c r="A111" s="20"/>
      <c r="B111" s="20"/>
      <c r="C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>
      <c r="A112" s="20"/>
      <c r="B112" s="20"/>
      <c r="C112" s="20"/>
      <c r="D112" s="12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>
      <c r="A117" s="20"/>
      <c r="B117" s="20"/>
      <c r="C117" s="20"/>
      <c r="D117" s="31" t="s">
        <v>445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>
      <c r="A118" s="20"/>
      <c r="B118" s="20"/>
      <c r="C118" s="20"/>
      <c r="D118" s="12" t="s">
        <v>65</v>
      </c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>
      <c r="A119" s="20"/>
      <c r="B119" s="20"/>
      <c r="C119" s="20"/>
      <c r="D119" s="12" t="s">
        <v>47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>
      <c r="A120" s="20"/>
      <c r="B120" s="20"/>
      <c r="C120" s="20"/>
      <c r="D120" s="12" t="s">
        <v>54</v>
      </c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>
      <c r="A121" s="20"/>
      <c r="B121" s="20"/>
      <c r="C121" s="20"/>
      <c r="D121" s="12" t="s">
        <v>38</v>
      </c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>
      <c r="A122" s="20"/>
      <c r="B122" s="20"/>
      <c r="C122" s="20"/>
      <c r="D122" s="12" t="s">
        <v>16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>
      <c r="A123" s="20"/>
      <c r="B123" s="20"/>
      <c r="C123" s="20"/>
      <c r="D123" s="12" t="s">
        <v>273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>
      <c r="A124" s="20"/>
      <c r="B124" s="20"/>
      <c r="C124" s="20"/>
      <c r="D124" s="12" t="s">
        <v>198</v>
      </c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>
      <c r="A125" s="20"/>
      <c r="B125" s="20"/>
      <c r="C125" s="20"/>
      <c r="D125" s="21" t="s">
        <v>30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>
      <c r="A126" s="20"/>
      <c r="B126" s="20"/>
      <c r="C126" s="20"/>
      <c r="D126" s="21" t="s">
        <v>446</v>
      </c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>
      <c r="A127" s="20"/>
      <c r="B127" s="20"/>
      <c r="C127" s="20"/>
      <c r="D127" s="21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>
      <c r="A128" s="20"/>
      <c r="B128" s="20"/>
      <c r="C128" s="20"/>
      <c r="D128" s="31" t="s">
        <v>447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>
      <c r="A129" s="20"/>
      <c r="B129" s="20"/>
      <c r="C129" s="20"/>
      <c r="D129" s="12" t="s">
        <v>448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>
      <c r="A130" s="20"/>
      <c r="B130" s="20"/>
      <c r="C130" s="20"/>
      <c r="D130" s="12" t="s">
        <v>328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>
      <c r="A131" s="20"/>
      <c r="B131" s="20"/>
      <c r="C131" s="20"/>
      <c r="D131" s="12" t="s">
        <v>449</v>
      </c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>
      <c r="A132" s="20"/>
      <c r="B132" s="20"/>
      <c r="C132" s="20"/>
      <c r="D132" s="12" t="s">
        <v>450</v>
      </c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>
      <c r="A133" s="20"/>
      <c r="B133" s="20"/>
      <c r="C133" s="20"/>
      <c r="D133" s="12" t="s">
        <v>350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>
      <c r="A134" s="20"/>
      <c r="B134" s="20"/>
      <c r="C134" s="20"/>
      <c r="D134" s="12" t="s">
        <v>451</v>
      </c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>
      <c r="A135" s="20"/>
      <c r="B135" s="20"/>
      <c r="C135" s="20"/>
      <c r="D135" s="12" t="s">
        <v>371</v>
      </c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>
      <c r="A136" s="20"/>
      <c r="B136" s="20"/>
      <c r="C136" s="20"/>
      <c r="D136" s="12" t="s">
        <v>30</v>
      </c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>
      <c r="A137" s="20"/>
      <c r="B137" s="20"/>
      <c r="C137" s="20"/>
      <c r="D137" s="12" t="s">
        <v>452</v>
      </c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6.5"/>
    <col customWidth="1" min="2" max="2" width="24.38"/>
    <col customWidth="1" min="3" max="3" width="12.13"/>
    <col customWidth="1" min="4" max="4" width="43.63"/>
    <col customWidth="1" min="5" max="5" width="31.63"/>
    <col customWidth="1" min="6" max="6" width="22.13"/>
    <col customWidth="1" min="7" max="7" width="9.0"/>
    <col customWidth="1" min="8" max="8" width="10.63"/>
    <col customWidth="1" min="9" max="9" width="10.88"/>
    <col customWidth="1" min="10" max="10" width="28.88"/>
    <col customWidth="1" min="11" max="11" width="139.88"/>
    <col customWidth="1" min="12" max="12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 t="s">
        <v>453</v>
      </c>
      <c r="B2" s="7"/>
      <c r="C2" s="8"/>
      <c r="D2" s="7"/>
      <c r="E2" s="7"/>
      <c r="F2" s="7"/>
      <c r="G2" s="7"/>
      <c r="H2" s="7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33" t="s">
        <v>454</v>
      </c>
      <c r="B3" s="10" t="s">
        <v>455</v>
      </c>
      <c r="C3" s="10" t="s">
        <v>15</v>
      </c>
      <c r="D3" s="10" t="s">
        <v>456</v>
      </c>
      <c r="E3" s="10" t="s">
        <v>457</v>
      </c>
      <c r="F3" s="10" t="s">
        <v>458</v>
      </c>
      <c r="G3" s="10">
        <v>6019.0</v>
      </c>
      <c r="H3" s="10" t="s">
        <v>41</v>
      </c>
      <c r="I3" s="10" t="s">
        <v>20</v>
      </c>
      <c r="J3" s="10" t="s">
        <v>459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33" t="s">
        <v>460</v>
      </c>
      <c r="B4" s="10" t="s">
        <v>461</v>
      </c>
      <c r="C4" s="10" t="s">
        <v>46</v>
      </c>
      <c r="D4" s="1" t="s">
        <v>462</v>
      </c>
      <c r="E4" s="10" t="s">
        <v>463</v>
      </c>
      <c r="F4" s="10" t="s">
        <v>464</v>
      </c>
      <c r="G4" s="10">
        <v>4129.0</v>
      </c>
      <c r="H4" s="10" t="s">
        <v>33</v>
      </c>
      <c r="I4" s="10" t="s">
        <v>20</v>
      </c>
      <c r="J4" s="10" t="s">
        <v>465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33" t="s">
        <v>466</v>
      </c>
      <c r="B5" s="10" t="s">
        <v>467</v>
      </c>
      <c r="C5" s="10" t="s">
        <v>46</v>
      </c>
      <c r="D5" s="10" t="s">
        <v>468</v>
      </c>
      <c r="E5" s="10" t="s">
        <v>469</v>
      </c>
      <c r="F5" s="10" t="s">
        <v>470</v>
      </c>
      <c r="G5" s="10">
        <v>2770.0</v>
      </c>
      <c r="H5" s="10" t="s">
        <v>50</v>
      </c>
      <c r="I5" s="10" t="s">
        <v>20</v>
      </c>
      <c r="J5" s="10" t="s">
        <v>471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33" t="s">
        <v>13</v>
      </c>
      <c r="B6" s="10" t="s">
        <v>14</v>
      </c>
      <c r="C6" s="10" t="s">
        <v>15</v>
      </c>
      <c r="D6" s="10" t="s">
        <v>472</v>
      </c>
      <c r="E6" s="10" t="s">
        <v>473</v>
      </c>
      <c r="F6" s="10" t="s">
        <v>474</v>
      </c>
      <c r="G6" s="10">
        <v>3109.0</v>
      </c>
      <c r="H6" s="10" t="s">
        <v>19</v>
      </c>
      <c r="I6" s="10" t="s">
        <v>20</v>
      </c>
      <c r="J6" s="10" t="s">
        <v>21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33" t="s">
        <v>475</v>
      </c>
      <c r="B7" s="10" t="s">
        <v>476</v>
      </c>
      <c r="C7" s="10" t="s">
        <v>15</v>
      </c>
      <c r="D7" s="10" t="s">
        <v>477</v>
      </c>
      <c r="E7" s="10" t="s">
        <v>478</v>
      </c>
      <c r="F7" s="10" t="s">
        <v>479</v>
      </c>
      <c r="G7" s="10">
        <v>2133.0</v>
      </c>
      <c r="H7" s="10" t="s">
        <v>50</v>
      </c>
      <c r="I7" s="10" t="s">
        <v>20</v>
      </c>
      <c r="J7" s="10" t="s">
        <v>480</v>
      </c>
      <c r="K7" s="10" t="s">
        <v>481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33" t="s">
        <v>482</v>
      </c>
      <c r="B8" s="10" t="s">
        <v>483</v>
      </c>
      <c r="C8" s="10" t="s">
        <v>15</v>
      </c>
      <c r="D8" s="10" t="s">
        <v>484</v>
      </c>
      <c r="E8" s="10" t="s">
        <v>485</v>
      </c>
      <c r="F8" s="10" t="s">
        <v>216</v>
      </c>
      <c r="G8" s="10">
        <v>3910.0</v>
      </c>
      <c r="H8" s="10" t="s">
        <v>19</v>
      </c>
      <c r="I8" s="10" t="s">
        <v>20</v>
      </c>
      <c r="J8" s="10" t="s">
        <v>486</v>
      </c>
      <c r="K8" s="10" t="s">
        <v>487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33" t="s">
        <v>488</v>
      </c>
      <c r="B9" s="10" t="s">
        <v>489</v>
      </c>
      <c r="C9" s="10"/>
      <c r="D9" s="10" t="s">
        <v>490</v>
      </c>
      <c r="E9" s="10" t="s">
        <v>491</v>
      </c>
      <c r="F9" s="10" t="s">
        <v>492</v>
      </c>
      <c r="G9" s="10">
        <v>2229.0</v>
      </c>
      <c r="H9" s="10" t="s">
        <v>50</v>
      </c>
      <c r="I9" s="10" t="s">
        <v>20</v>
      </c>
      <c r="J9" s="10" t="s">
        <v>493</v>
      </c>
      <c r="K9" s="34" t="s">
        <v>494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35" t="s">
        <v>495</v>
      </c>
      <c r="B10" s="16" t="s">
        <v>496</v>
      </c>
      <c r="C10" s="10"/>
      <c r="D10" s="10" t="s">
        <v>497</v>
      </c>
      <c r="E10" s="10" t="s">
        <v>498</v>
      </c>
      <c r="F10" s="10" t="s">
        <v>499</v>
      </c>
      <c r="G10" s="10">
        <v>2570.0</v>
      </c>
      <c r="H10" s="10" t="s">
        <v>50</v>
      </c>
      <c r="I10" s="10" t="s">
        <v>20</v>
      </c>
      <c r="J10" s="10" t="s">
        <v>500</v>
      </c>
      <c r="K10" s="34" t="s">
        <v>494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33" t="s">
        <v>501</v>
      </c>
      <c r="B11" s="10" t="s">
        <v>502</v>
      </c>
      <c r="C11" s="10"/>
      <c r="D11" s="10" t="s">
        <v>503</v>
      </c>
      <c r="E11" s="10" t="s">
        <v>504</v>
      </c>
      <c r="F11" s="10" t="s">
        <v>505</v>
      </c>
      <c r="G11" s="10">
        <v>2233.0</v>
      </c>
      <c r="H11" s="10" t="s">
        <v>50</v>
      </c>
      <c r="I11" s="10" t="s">
        <v>20</v>
      </c>
      <c r="J11" s="10" t="s">
        <v>506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33" t="s">
        <v>507</v>
      </c>
      <c r="B12" s="10" t="s">
        <v>508</v>
      </c>
      <c r="C12" s="10"/>
      <c r="D12" s="10" t="s">
        <v>472</v>
      </c>
      <c r="E12" s="10" t="s">
        <v>509</v>
      </c>
      <c r="F12" s="10" t="s">
        <v>510</v>
      </c>
      <c r="G12" s="10">
        <v>2114.0</v>
      </c>
      <c r="H12" s="10" t="s">
        <v>50</v>
      </c>
      <c r="I12" s="10" t="s">
        <v>20</v>
      </c>
      <c r="J12" s="10" t="s">
        <v>511</v>
      </c>
      <c r="K12" s="10" t="s">
        <v>512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36" t="s">
        <v>513</v>
      </c>
      <c r="B13" s="10" t="s">
        <v>514</v>
      </c>
      <c r="C13" s="10"/>
      <c r="D13" s="12" t="s">
        <v>47</v>
      </c>
      <c r="E13" s="10" t="s">
        <v>515</v>
      </c>
      <c r="F13" s="10" t="s">
        <v>516</v>
      </c>
      <c r="G13" s="10">
        <v>6210.0</v>
      </c>
      <c r="H13" s="10" t="s">
        <v>41</v>
      </c>
      <c r="I13" s="10" t="s">
        <v>20</v>
      </c>
      <c r="J13" s="10" t="s">
        <v>517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33" t="s">
        <v>518</v>
      </c>
      <c r="B14" s="10" t="s">
        <v>519</v>
      </c>
      <c r="C14" s="10" t="s">
        <v>15</v>
      </c>
      <c r="D14" s="12" t="s">
        <v>16</v>
      </c>
      <c r="E14" s="10" t="s">
        <v>520</v>
      </c>
      <c r="F14" s="10" t="s">
        <v>521</v>
      </c>
      <c r="G14" s="10">
        <v>2026.0</v>
      </c>
      <c r="H14" s="12" t="s">
        <v>50</v>
      </c>
      <c r="I14" s="12" t="s">
        <v>20</v>
      </c>
      <c r="J14" s="10" t="s">
        <v>522</v>
      </c>
      <c r="K14" s="10" t="s">
        <v>523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37" t="s">
        <v>524</v>
      </c>
      <c r="B15" s="23" t="s">
        <v>525</v>
      </c>
      <c r="C15" s="23"/>
      <c r="D15" s="12" t="s">
        <v>65</v>
      </c>
      <c r="E15" s="23" t="s">
        <v>526</v>
      </c>
      <c r="F15" s="23" t="s">
        <v>527</v>
      </c>
      <c r="G15" s="23">
        <v>4217.0</v>
      </c>
      <c r="H15" s="23" t="s">
        <v>33</v>
      </c>
      <c r="I15" s="23" t="s">
        <v>20</v>
      </c>
      <c r="J15" s="23" t="s">
        <v>528</v>
      </c>
      <c r="K15" s="23" t="s">
        <v>529</v>
      </c>
      <c r="L15" s="23"/>
      <c r="M15" s="24"/>
      <c r="N15" s="24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>
      <c r="A16" s="37" t="s">
        <v>530</v>
      </c>
      <c r="B16" s="23" t="s">
        <v>531</v>
      </c>
      <c r="C16" s="23"/>
      <c r="D16" s="12" t="s">
        <v>47</v>
      </c>
      <c r="E16" s="23" t="s">
        <v>532</v>
      </c>
      <c r="F16" s="23" t="s">
        <v>533</v>
      </c>
      <c r="G16" s="23">
        <v>4217.0</v>
      </c>
      <c r="H16" s="23" t="s">
        <v>33</v>
      </c>
      <c r="I16" s="23" t="s">
        <v>20</v>
      </c>
      <c r="J16" s="23"/>
      <c r="K16" s="23"/>
      <c r="L16" s="23"/>
      <c r="M16" s="24"/>
      <c r="N16" s="24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>
      <c r="A17" s="37" t="s">
        <v>534</v>
      </c>
      <c r="B17" s="23" t="s">
        <v>535</v>
      </c>
      <c r="C17" s="23"/>
      <c r="D17" s="12" t="s">
        <v>198</v>
      </c>
      <c r="E17" s="23" t="s">
        <v>536</v>
      </c>
      <c r="F17" s="23" t="s">
        <v>537</v>
      </c>
      <c r="G17" s="23">
        <v>2577.0</v>
      </c>
      <c r="H17" s="23" t="s">
        <v>50</v>
      </c>
      <c r="I17" s="23" t="s">
        <v>20</v>
      </c>
      <c r="J17" s="23" t="s">
        <v>538</v>
      </c>
      <c r="K17" s="23"/>
      <c r="L17" s="23"/>
      <c r="M17" s="24"/>
      <c r="N17" s="24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>
      <c r="A18" s="37" t="s">
        <v>539</v>
      </c>
      <c r="B18" s="23" t="s">
        <v>540</v>
      </c>
      <c r="C18" s="23" t="s">
        <v>46</v>
      </c>
      <c r="D18" s="12" t="s">
        <v>38</v>
      </c>
      <c r="E18" s="23" t="s">
        <v>541</v>
      </c>
      <c r="F18" s="23" t="s">
        <v>542</v>
      </c>
      <c r="G18" s="23">
        <v>3140.0</v>
      </c>
      <c r="H18" s="23" t="s">
        <v>19</v>
      </c>
      <c r="I18" s="23" t="s">
        <v>20</v>
      </c>
      <c r="J18" s="23" t="s">
        <v>543</v>
      </c>
      <c r="K18" s="23" t="s">
        <v>544</v>
      </c>
      <c r="L18" s="23"/>
      <c r="M18" s="24"/>
      <c r="N18" s="24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>
      <c r="A19" s="37" t="s">
        <v>545</v>
      </c>
      <c r="B19" s="23" t="s">
        <v>546</v>
      </c>
      <c r="C19" s="23" t="s">
        <v>37</v>
      </c>
      <c r="D19" s="12" t="s">
        <v>65</v>
      </c>
      <c r="E19" s="23" t="s">
        <v>547</v>
      </c>
      <c r="F19" s="23" t="s">
        <v>548</v>
      </c>
      <c r="G19" s="23">
        <v>4067.0</v>
      </c>
      <c r="H19" s="23" t="s">
        <v>33</v>
      </c>
      <c r="I19" s="23" t="s">
        <v>20</v>
      </c>
      <c r="J19" s="23"/>
      <c r="K19" s="23"/>
      <c r="L19" s="23"/>
      <c r="M19" s="24"/>
      <c r="N19" s="24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>
      <c r="A20" s="37" t="s">
        <v>549</v>
      </c>
      <c r="B20" s="23" t="s">
        <v>550</v>
      </c>
      <c r="C20" s="23" t="s">
        <v>15</v>
      </c>
      <c r="D20" s="12" t="s">
        <v>47</v>
      </c>
      <c r="E20" s="23" t="s">
        <v>551</v>
      </c>
      <c r="F20" s="23" t="s">
        <v>552</v>
      </c>
      <c r="G20" s="23">
        <v>5008.0</v>
      </c>
      <c r="H20" s="23" t="s">
        <v>104</v>
      </c>
      <c r="I20" s="23" t="s">
        <v>20</v>
      </c>
      <c r="J20" s="23" t="s">
        <v>553</v>
      </c>
      <c r="K20" s="23" t="s">
        <v>554</v>
      </c>
      <c r="L20" s="23"/>
      <c r="M20" s="24"/>
      <c r="N20" s="24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>
      <c r="A21" s="37" t="s">
        <v>555</v>
      </c>
      <c r="B21" s="23" t="s">
        <v>556</v>
      </c>
      <c r="C21" s="23" t="s">
        <v>15</v>
      </c>
      <c r="D21" s="12" t="s">
        <v>198</v>
      </c>
      <c r="E21" s="23" t="s">
        <v>557</v>
      </c>
      <c r="F21" s="23" t="s">
        <v>558</v>
      </c>
      <c r="G21" s="23">
        <v>3953.0</v>
      </c>
      <c r="H21" s="23" t="s">
        <v>19</v>
      </c>
      <c r="I21" s="23" t="s">
        <v>20</v>
      </c>
      <c r="J21" s="23" t="s">
        <v>559</v>
      </c>
      <c r="K21" s="23"/>
      <c r="L21" s="23"/>
      <c r="M21" s="24"/>
      <c r="N21" s="24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>
      <c r="A22" s="37" t="s">
        <v>560</v>
      </c>
      <c r="B22" s="23" t="s">
        <v>561</v>
      </c>
      <c r="C22" s="23" t="s">
        <v>15</v>
      </c>
      <c r="D22" s="12" t="s">
        <v>47</v>
      </c>
      <c r="E22" s="23" t="s">
        <v>562</v>
      </c>
      <c r="F22" s="23" t="s">
        <v>563</v>
      </c>
      <c r="G22" s="23">
        <v>2033.0</v>
      </c>
      <c r="H22" s="23" t="s">
        <v>50</v>
      </c>
      <c r="I22" s="23" t="s">
        <v>20</v>
      </c>
      <c r="J22" s="23" t="s">
        <v>564</v>
      </c>
      <c r="K22" s="23"/>
      <c r="L22" s="23"/>
      <c r="M22" s="24"/>
      <c r="N22" s="24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>
      <c r="A23" s="33" t="s">
        <v>565</v>
      </c>
      <c r="B23" s="10" t="s">
        <v>566</v>
      </c>
      <c r="C23" s="10" t="s">
        <v>15</v>
      </c>
      <c r="D23" s="12" t="s">
        <v>65</v>
      </c>
      <c r="E23" s="10" t="s">
        <v>567</v>
      </c>
      <c r="F23" s="10" t="s">
        <v>568</v>
      </c>
      <c r="G23" s="10">
        <v>3217.0</v>
      </c>
      <c r="H23" s="10" t="s">
        <v>19</v>
      </c>
      <c r="I23" s="12" t="s">
        <v>20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37" t="s">
        <v>569</v>
      </c>
      <c r="B24" s="23" t="s">
        <v>570</v>
      </c>
      <c r="C24" s="23" t="s">
        <v>46</v>
      </c>
      <c r="D24" s="12" t="s">
        <v>47</v>
      </c>
      <c r="E24" s="23" t="s">
        <v>571</v>
      </c>
      <c r="F24" s="23" t="s">
        <v>572</v>
      </c>
      <c r="G24" s="23">
        <v>5276.0</v>
      </c>
      <c r="H24" s="23" t="s">
        <v>104</v>
      </c>
      <c r="I24" s="23" t="s">
        <v>20</v>
      </c>
      <c r="J24" s="23" t="s">
        <v>573</v>
      </c>
      <c r="K24" s="23"/>
      <c r="L24" s="23"/>
      <c r="M24" s="24"/>
      <c r="N24" s="24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>
      <c r="A25" s="37" t="s">
        <v>574</v>
      </c>
      <c r="B25" s="23" t="s">
        <v>575</v>
      </c>
      <c r="C25" s="23" t="s">
        <v>15</v>
      </c>
      <c r="D25" s="12" t="s">
        <v>95</v>
      </c>
      <c r="E25" s="23" t="s">
        <v>576</v>
      </c>
      <c r="F25" s="23" t="s">
        <v>577</v>
      </c>
      <c r="G25" s="23">
        <v>5215.0</v>
      </c>
      <c r="H25" s="23" t="s">
        <v>104</v>
      </c>
      <c r="I25" s="23" t="s">
        <v>20</v>
      </c>
      <c r="J25" s="23"/>
      <c r="K25" s="23" t="s">
        <v>578</v>
      </c>
      <c r="L25" s="23"/>
      <c r="M25" s="24"/>
      <c r="N25" s="24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>
      <c r="A26" s="36" t="s">
        <v>579</v>
      </c>
      <c r="B26" s="10" t="s">
        <v>580</v>
      </c>
      <c r="C26" s="23"/>
      <c r="D26" s="12" t="s">
        <v>581</v>
      </c>
      <c r="E26" s="23" t="s">
        <v>582</v>
      </c>
      <c r="F26" s="23" t="s">
        <v>583</v>
      </c>
      <c r="G26" s="23">
        <v>5372.0</v>
      </c>
      <c r="H26" s="23" t="s">
        <v>104</v>
      </c>
      <c r="I26" s="23" t="s">
        <v>20</v>
      </c>
      <c r="J26" s="10" t="s">
        <v>584</v>
      </c>
      <c r="K26" s="23"/>
      <c r="L26" s="23"/>
      <c r="M26" s="24"/>
      <c r="N26" s="24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>
      <c r="A27" s="36" t="s">
        <v>585</v>
      </c>
      <c r="B27" s="10" t="s">
        <v>586</v>
      </c>
      <c r="C27" s="23"/>
      <c r="D27" s="12" t="s">
        <v>587</v>
      </c>
      <c r="E27" s="23"/>
      <c r="F27" s="23"/>
      <c r="G27" s="23"/>
      <c r="H27" s="23"/>
      <c r="I27" s="23"/>
      <c r="J27" s="10"/>
      <c r="K27" s="23"/>
      <c r="L27" s="23"/>
      <c r="M27" s="24"/>
      <c r="N27" s="24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>
      <c r="A28" s="37" t="s">
        <v>574</v>
      </c>
      <c r="B28" s="23" t="s">
        <v>588</v>
      </c>
      <c r="C28" s="23"/>
      <c r="D28" s="12" t="s">
        <v>589</v>
      </c>
      <c r="E28" s="23" t="s">
        <v>576</v>
      </c>
      <c r="F28" s="23" t="s">
        <v>577</v>
      </c>
      <c r="G28" s="23">
        <v>5215.0</v>
      </c>
      <c r="H28" s="23" t="s">
        <v>104</v>
      </c>
      <c r="I28" s="23" t="s">
        <v>20</v>
      </c>
      <c r="K28" s="23" t="s">
        <v>590</v>
      </c>
      <c r="L28" s="23"/>
      <c r="M28" s="24"/>
      <c r="N28" s="24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>
      <c r="A29" s="37" t="s">
        <v>574</v>
      </c>
      <c r="B29" s="23" t="s">
        <v>591</v>
      </c>
      <c r="C29" s="23"/>
      <c r="D29" s="12" t="s">
        <v>592</v>
      </c>
      <c r="E29" s="23" t="s">
        <v>576</v>
      </c>
      <c r="F29" s="23" t="s">
        <v>577</v>
      </c>
      <c r="G29" s="23">
        <v>5215.0</v>
      </c>
      <c r="H29" s="23" t="s">
        <v>104</v>
      </c>
      <c r="I29" s="23" t="s">
        <v>20</v>
      </c>
      <c r="K29" s="23" t="s">
        <v>593</v>
      </c>
      <c r="L29" s="23"/>
      <c r="M29" s="24"/>
      <c r="N29" s="24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>
      <c r="A30" s="37" t="s">
        <v>594</v>
      </c>
      <c r="B30" s="23" t="s">
        <v>595</v>
      </c>
      <c r="C30" s="23" t="s">
        <v>46</v>
      </c>
      <c r="D30" s="12" t="s">
        <v>596</v>
      </c>
      <c r="E30" s="23" t="s">
        <v>597</v>
      </c>
      <c r="F30" s="23" t="s">
        <v>598</v>
      </c>
      <c r="G30" s="23">
        <v>5049.0</v>
      </c>
      <c r="H30" s="23" t="s">
        <v>104</v>
      </c>
      <c r="I30" s="23" t="s">
        <v>20</v>
      </c>
      <c r="K30" s="23"/>
      <c r="L30" s="23"/>
      <c r="M30" s="24"/>
      <c r="N30" s="24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>
      <c r="A31" s="37" t="s">
        <v>599</v>
      </c>
      <c r="B31" s="23"/>
      <c r="C31" s="23"/>
      <c r="D31" s="12" t="s">
        <v>600</v>
      </c>
      <c r="E31" s="23" t="s">
        <v>601</v>
      </c>
      <c r="F31" s="23"/>
      <c r="G31" s="23"/>
      <c r="H31" s="23"/>
      <c r="I31" s="23"/>
      <c r="K31" s="23" t="s">
        <v>602</v>
      </c>
      <c r="L31" s="23"/>
      <c r="M31" s="24"/>
      <c r="N31" s="24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>
      <c r="A32" s="37" t="s">
        <v>603</v>
      </c>
      <c r="B32" s="23" t="s">
        <v>604</v>
      </c>
      <c r="C32" s="23"/>
      <c r="D32" s="12" t="s">
        <v>198</v>
      </c>
      <c r="E32" s="23" t="s">
        <v>605</v>
      </c>
      <c r="F32" s="23" t="s">
        <v>606</v>
      </c>
      <c r="G32" s="23">
        <v>2825.0</v>
      </c>
      <c r="H32" s="23" t="s">
        <v>50</v>
      </c>
      <c r="I32" s="23" t="s">
        <v>20</v>
      </c>
      <c r="K32" s="23"/>
      <c r="L32" s="23"/>
      <c r="M32" s="24"/>
      <c r="N32" s="24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>
      <c r="A33" s="37" t="s">
        <v>607</v>
      </c>
      <c r="B33" s="23" t="s">
        <v>608</v>
      </c>
      <c r="C33" s="23" t="s">
        <v>15</v>
      </c>
      <c r="D33" s="12" t="s">
        <v>95</v>
      </c>
      <c r="E33" s="23" t="s">
        <v>609</v>
      </c>
      <c r="F33" s="23" t="s">
        <v>610</v>
      </c>
      <c r="G33" s="23">
        <v>5070.0</v>
      </c>
      <c r="H33" s="23" t="s">
        <v>104</v>
      </c>
      <c r="I33" s="23" t="s">
        <v>20</v>
      </c>
      <c r="J33" s="21" t="s">
        <v>611</v>
      </c>
      <c r="K33" s="23"/>
      <c r="L33" s="23"/>
      <c r="M33" s="24"/>
      <c r="N33" s="24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>
      <c r="A34" s="37" t="s">
        <v>612</v>
      </c>
      <c r="B34" s="23"/>
      <c r="C34" s="23"/>
      <c r="D34" s="12" t="s">
        <v>613</v>
      </c>
      <c r="E34" s="23"/>
      <c r="F34" s="23"/>
      <c r="G34" s="23"/>
      <c r="H34" s="23"/>
      <c r="I34" s="23"/>
      <c r="J34" s="21"/>
      <c r="K34" s="23"/>
      <c r="L34" s="23"/>
      <c r="M34" s="24"/>
      <c r="N34" s="24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>
      <c r="A35" s="37" t="s">
        <v>614</v>
      </c>
      <c r="B35" s="23" t="s">
        <v>615</v>
      </c>
      <c r="C35" s="23" t="s">
        <v>37</v>
      </c>
      <c r="D35" s="12" t="s">
        <v>616</v>
      </c>
      <c r="E35" s="23"/>
      <c r="F35" s="23"/>
      <c r="G35" s="23"/>
      <c r="H35" s="23"/>
      <c r="I35" s="23"/>
      <c r="J35" s="21" t="s">
        <v>617</v>
      </c>
      <c r="K35" s="23"/>
      <c r="L35" s="23"/>
      <c r="M35" s="24"/>
      <c r="N35" s="24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>
      <c r="A36" s="37" t="s">
        <v>618</v>
      </c>
      <c r="B36" s="23" t="s">
        <v>619</v>
      </c>
      <c r="C36" s="23" t="s">
        <v>15</v>
      </c>
      <c r="D36" s="12" t="s">
        <v>16</v>
      </c>
      <c r="E36" s="23" t="s">
        <v>620</v>
      </c>
      <c r="F36" s="23" t="s">
        <v>621</v>
      </c>
      <c r="G36" s="23">
        <v>3280.0</v>
      </c>
      <c r="H36" s="23" t="s">
        <v>19</v>
      </c>
      <c r="I36" s="23" t="s">
        <v>20</v>
      </c>
      <c r="J36" s="21" t="s">
        <v>622</v>
      </c>
      <c r="K36" s="23" t="s">
        <v>623</v>
      </c>
      <c r="L36" s="23"/>
      <c r="M36" s="24"/>
      <c r="N36" s="24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>
      <c r="A37" s="37" t="s">
        <v>624</v>
      </c>
      <c r="B37" s="23" t="s">
        <v>625</v>
      </c>
      <c r="C37" s="23"/>
      <c r="D37" s="12" t="s">
        <v>16</v>
      </c>
      <c r="E37" s="23" t="s">
        <v>626</v>
      </c>
      <c r="F37" s="23" t="s">
        <v>627</v>
      </c>
      <c r="G37" s="23">
        <v>3205.0</v>
      </c>
      <c r="H37" s="23" t="s">
        <v>19</v>
      </c>
      <c r="I37" s="23" t="s">
        <v>20</v>
      </c>
      <c r="J37" s="21" t="s">
        <v>628</v>
      </c>
      <c r="K37" s="23"/>
      <c r="L37" s="23"/>
      <c r="M37" s="24"/>
      <c r="N37" s="24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>
      <c r="A38" s="37" t="s">
        <v>629</v>
      </c>
      <c r="B38" s="23" t="s">
        <v>630</v>
      </c>
      <c r="C38" s="23" t="s">
        <v>15</v>
      </c>
      <c r="D38" s="12" t="s">
        <v>88</v>
      </c>
      <c r="E38" s="23" t="s">
        <v>631</v>
      </c>
      <c r="F38" s="23" t="s">
        <v>632</v>
      </c>
      <c r="G38" s="23">
        <v>4218.0</v>
      </c>
      <c r="H38" s="23" t="s">
        <v>33</v>
      </c>
      <c r="I38" s="23" t="s">
        <v>20</v>
      </c>
      <c r="J38" s="21" t="s">
        <v>633</v>
      </c>
      <c r="K38" s="23"/>
      <c r="L38" s="23"/>
      <c r="M38" s="24"/>
      <c r="N38" s="24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>
      <c r="A39" s="37" t="s">
        <v>634</v>
      </c>
      <c r="B39" s="23" t="s">
        <v>635</v>
      </c>
      <c r="C39" s="23" t="s">
        <v>15</v>
      </c>
      <c r="D39" s="12" t="s">
        <v>16</v>
      </c>
      <c r="E39" s="23" t="s">
        <v>636</v>
      </c>
      <c r="F39" s="23" t="s">
        <v>637</v>
      </c>
      <c r="G39" s="23">
        <v>2257.0</v>
      </c>
      <c r="H39" s="23" t="s">
        <v>50</v>
      </c>
      <c r="I39" s="23" t="s">
        <v>20</v>
      </c>
      <c r="J39" s="21" t="s">
        <v>638</v>
      </c>
      <c r="K39" s="23"/>
      <c r="L39" s="23"/>
      <c r="M39" s="24"/>
      <c r="N39" s="24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>
      <c r="A40" s="37" t="s">
        <v>639</v>
      </c>
      <c r="B40" s="23" t="s">
        <v>640</v>
      </c>
      <c r="C40" s="23"/>
      <c r="D40" s="12" t="s">
        <v>16</v>
      </c>
      <c r="E40" s="23" t="s">
        <v>641</v>
      </c>
      <c r="F40" s="23" t="s">
        <v>642</v>
      </c>
      <c r="G40" s="23">
        <v>2617.0</v>
      </c>
      <c r="H40" s="23" t="s">
        <v>130</v>
      </c>
      <c r="I40" s="23" t="s">
        <v>20</v>
      </c>
      <c r="J40" s="21" t="s">
        <v>643</v>
      </c>
      <c r="K40" s="23"/>
      <c r="L40" s="23"/>
      <c r="M40" s="24"/>
      <c r="N40" s="24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>
      <c r="A41" s="37" t="s">
        <v>644</v>
      </c>
      <c r="B41" s="23" t="s">
        <v>645</v>
      </c>
      <c r="C41" s="23" t="s">
        <v>300</v>
      </c>
      <c r="D41" s="12" t="s">
        <v>16</v>
      </c>
      <c r="E41" s="23" t="s">
        <v>646</v>
      </c>
      <c r="F41" s="23" t="s">
        <v>647</v>
      </c>
      <c r="G41" s="23">
        <v>3040.0</v>
      </c>
      <c r="H41" s="23" t="s">
        <v>19</v>
      </c>
      <c r="I41" s="23" t="s">
        <v>20</v>
      </c>
      <c r="J41" s="21" t="s">
        <v>648</v>
      </c>
      <c r="K41" s="23"/>
      <c r="L41" s="23"/>
      <c r="M41" s="24"/>
      <c r="N41" s="24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>
      <c r="A42" s="23"/>
      <c r="B42" s="23"/>
      <c r="C42" s="23"/>
      <c r="D42" s="12"/>
      <c r="E42" s="23"/>
      <c r="F42" s="23"/>
      <c r="G42" s="23"/>
      <c r="H42" s="23"/>
      <c r="I42" s="23"/>
      <c r="J42" s="21"/>
      <c r="K42" s="23"/>
      <c r="L42" s="23"/>
      <c r="M42" s="24"/>
      <c r="N42" s="24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>
      <c r="A43" s="23"/>
      <c r="B43" s="23"/>
      <c r="C43" s="23"/>
      <c r="D43" s="12"/>
      <c r="E43" s="23"/>
      <c r="F43" s="23"/>
      <c r="G43" s="23"/>
      <c r="H43" s="23"/>
      <c r="I43" s="23"/>
      <c r="K43" s="23"/>
      <c r="L43" s="23"/>
      <c r="M43" s="24"/>
      <c r="N43" s="24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>
      <c r="A44" s="10"/>
      <c r="B44" s="10"/>
      <c r="C44" s="11"/>
      <c r="D44" s="10"/>
      <c r="E44" s="10"/>
      <c r="F44" s="10"/>
      <c r="G44" s="10"/>
      <c r="H44" s="10"/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6" t="s">
        <v>649</v>
      </c>
      <c r="B45" s="7"/>
      <c r="C45" s="8"/>
      <c r="D45" s="7"/>
      <c r="E45" s="7"/>
      <c r="F45" s="7"/>
      <c r="G45" s="7"/>
      <c r="H45" s="7"/>
      <c r="I45" s="7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>
      <c r="A46" s="36" t="s">
        <v>394</v>
      </c>
      <c r="B46" s="12" t="s">
        <v>650</v>
      </c>
      <c r="C46" s="12" t="s">
        <v>46</v>
      </c>
      <c r="D46" s="12" t="s">
        <v>651</v>
      </c>
      <c r="E46" s="12" t="s">
        <v>652</v>
      </c>
      <c r="F46" s="12" t="s">
        <v>398</v>
      </c>
      <c r="G46" s="12">
        <v>78040.0</v>
      </c>
      <c r="H46" s="12" t="s">
        <v>653</v>
      </c>
      <c r="I46" s="12" t="s">
        <v>400</v>
      </c>
      <c r="J46" s="12" t="s">
        <v>401</v>
      </c>
      <c r="K46" s="12" t="s">
        <v>654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>
      <c r="A47" s="36" t="s">
        <v>655</v>
      </c>
      <c r="B47" s="12" t="s">
        <v>656</v>
      </c>
      <c r="C47" s="12"/>
      <c r="D47" s="1" t="s">
        <v>462</v>
      </c>
      <c r="E47" s="12" t="s">
        <v>657</v>
      </c>
      <c r="F47" s="12" t="s">
        <v>658</v>
      </c>
      <c r="G47" s="12">
        <v>5011.0</v>
      </c>
      <c r="H47" s="12" t="s">
        <v>414</v>
      </c>
      <c r="I47" s="12" t="s">
        <v>659</v>
      </c>
      <c r="J47" s="12" t="s">
        <v>660</v>
      </c>
      <c r="K47" s="12" t="s">
        <v>661</v>
      </c>
      <c r="L47" s="12" t="s">
        <v>662</v>
      </c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>
      <c r="A48" s="33" t="s">
        <v>663</v>
      </c>
      <c r="B48" s="10" t="s">
        <v>664</v>
      </c>
      <c r="C48" s="10" t="s">
        <v>15</v>
      </c>
      <c r="D48" s="10" t="s">
        <v>665</v>
      </c>
      <c r="E48" s="10" t="s">
        <v>666</v>
      </c>
      <c r="F48" s="10" t="s">
        <v>667</v>
      </c>
      <c r="G48" s="10">
        <v>622.0</v>
      </c>
      <c r="H48" s="10" t="s">
        <v>668</v>
      </c>
      <c r="I48" s="12" t="s">
        <v>659</v>
      </c>
      <c r="J48" s="10" t="s">
        <v>669</v>
      </c>
      <c r="K48" s="10" t="s">
        <v>670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36" t="s">
        <v>671</v>
      </c>
      <c r="B49" s="38" t="s">
        <v>672</v>
      </c>
      <c r="C49" s="12" t="s">
        <v>15</v>
      </c>
      <c r="D49" s="12" t="s">
        <v>673</v>
      </c>
      <c r="E49" s="12" t="s">
        <v>674</v>
      </c>
      <c r="F49" s="12" t="s">
        <v>675</v>
      </c>
      <c r="G49" s="12">
        <v>7630.0</v>
      </c>
      <c r="H49" s="20"/>
      <c r="I49" s="12" t="s">
        <v>659</v>
      </c>
      <c r="J49" s="12" t="s">
        <v>676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>
      <c r="A50" s="36" t="s">
        <v>677</v>
      </c>
      <c r="B50" s="12" t="s">
        <v>678</v>
      </c>
      <c r="C50" s="20"/>
      <c r="D50" s="12" t="s">
        <v>472</v>
      </c>
      <c r="E50" s="12" t="s">
        <v>679</v>
      </c>
      <c r="F50" s="12" t="s">
        <v>680</v>
      </c>
      <c r="G50" s="12">
        <v>9305.0</v>
      </c>
      <c r="H50" s="20"/>
      <c r="I50" s="12" t="s">
        <v>659</v>
      </c>
      <c r="J50" s="12" t="s">
        <v>681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>
      <c r="A51" s="36" t="s">
        <v>682</v>
      </c>
      <c r="B51" s="12" t="s">
        <v>683</v>
      </c>
      <c r="C51" s="20"/>
      <c r="D51" s="12" t="s">
        <v>684</v>
      </c>
      <c r="E51" s="12" t="s">
        <v>685</v>
      </c>
      <c r="F51" s="12" t="s">
        <v>686</v>
      </c>
      <c r="G51" s="12">
        <v>810.0</v>
      </c>
      <c r="H51" s="12" t="s">
        <v>667</v>
      </c>
      <c r="I51" s="12" t="s">
        <v>659</v>
      </c>
      <c r="J51" s="12" t="s">
        <v>687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>
      <c r="A52" s="36" t="s">
        <v>688</v>
      </c>
      <c r="B52" s="12" t="s">
        <v>689</v>
      </c>
      <c r="C52" s="12" t="s">
        <v>690</v>
      </c>
      <c r="D52" s="12" t="s">
        <v>88</v>
      </c>
      <c r="E52" s="12" t="s">
        <v>691</v>
      </c>
      <c r="F52" s="12" t="s">
        <v>692</v>
      </c>
      <c r="G52" s="12">
        <v>1024.0</v>
      </c>
      <c r="H52" s="12" t="s">
        <v>667</v>
      </c>
      <c r="I52" s="12" t="s">
        <v>659</v>
      </c>
      <c r="J52" s="12" t="s">
        <v>693</v>
      </c>
      <c r="K52" s="12" t="s">
        <v>694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>
      <c r="A53" s="36" t="s">
        <v>695</v>
      </c>
      <c r="B53" s="12" t="s">
        <v>696</v>
      </c>
      <c r="C53" s="20"/>
      <c r="D53" s="12" t="s">
        <v>697</v>
      </c>
      <c r="E53" s="12" t="s">
        <v>698</v>
      </c>
      <c r="F53" s="12" t="s">
        <v>699</v>
      </c>
      <c r="G53" s="12">
        <v>1025.0</v>
      </c>
      <c r="H53" s="12" t="s">
        <v>667</v>
      </c>
      <c r="I53" s="12" t="s">
        <v>659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>
      <c r="A54" s="36" t="s">
        <v>700</v>
      </c>
      <c r="B54" s="12" t="s">
        <v>701</v>
      </c>
      <c r="C54" s="12" t="s">
        <v>15</v>
      </c>
      <c r="D54" s="12" t="s">
        <v>65</v>
      </c>
      <c r="E54" s="12" t="s">
        <v>702</v>
      </c>
      <c r="F54" s="12" t="s">
        <v>703</v>
      </c>
      <c r="G54" s="12">
        <v>932.0</v>
      </c>
      <c r="H54" s="12" t="s">
        <v>667</v>
      </c>
      <c r="I54" s="12" t="s">
        <v>659</v>
      </c>
      <c r="J54" s="12" t="s">
        <v>704</v>
      </c>
      <c r="K54" s="12" t="s">
        <v>705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>
      <c r="A55" s="36" t="s">
        <v>706</v>
      </c>
      <c r="B55" s="12" t="s">
        <v>707</v>
      </c>
      <c r="C55" s="12" t="s">
        <v>46</v>
      </c>
      <c r="D55" s="12" t="s">
        <v>47</v>
      </c>
      <c r="E55" s="12" t="s">
        <v>708</v>
      </c>
      <c r="F55" s="12" t="s">
        <v>709</v>
      </c>
      <c r="G55" s="12">
        <v>4410.0</v>
      </c>
      <c r="H55" s="20"/>
      <c r="I55" s="12" t="s">
        <v>659</v>
      </c>
      <c r="J55" s="12" t="s">
        <v>710</v>
      </c>
      <c r="K55" s="12" t="s">
        <v>711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>
      <c r="A56" s="36" t="s">
        <v>712</v>
      </c>
      <c r="B56" s="12" t="s">
        <v>713</v>
      </c>
      <c r="C56" s="20"/>
      <c r="D56" s="12" t="s">
        <v>47</v>
      </c>
      <c r="E56" s="12" t="s">
        <v>714</v>
      </c>
      <c r="F56" s="12" t="s">
        <v>715</v>
      </c>
      <c r="G56" s="12">
        <v>6021.0</v>
      </c>
      <c r="H56" s="12" t="s">
        <v>716</v>
      </c>
      <c r="I56" s="12" t="s">
        <v>659</v>
      </c>
      <c r="J56" s="12" t="s">
        <v>717</v>
      </c>
      <c r="K56" s="12" t="s">
        <v>711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>
      <c r="A57" s="36" t="s">
        <v>718</v>
      </c>
      <c r="B57" s="12" t="s">
        <v>719</v>
      </c>
      <c r="C57" s="12" t="s">
        <v>46</v>
      </c>
      <c r="D57" s="12" t="s">
        <v>697</v>
      </c>
      <c r="E57" s="12" t="s">
        <v>720</v>
      </c>
      <c r="F57" s="12" t="s">
        <v>721</v>
      </c>
      <c r="G57" s="12">
        <v>90254.0</v>
      </c>
      <c r="H57" s="12" t="s">
        <v>722</v>
      </c>
      <c r="I57" s="12" t="s">
        <v>400</v>
      </c>
      <c r="J57" s="12" t="s">
        <v>723</v>
      </c>
      <c r="K57" s="12" t="s">
        <v>724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>
      <c r="A58" s="37" t="s">
        <v>725</v>
      </c>
      <c r="B58" s="23" t="s">
        <v>726</v>
      </c>
      <c r="C58" s="23" t="s">
        <v>15</v>
      </c>
      <c r="D58" s="12" t="s">
        <v>198</v>
      </c>
      <c r="E58" s="23" t="s">
        <v>727</v>
      </c>
      <c r="F58" s="23" t="s">
        <v>728</v>
      </c>
      <c r="G58" s="23">
        <v>9016.0</v>
      </c>
      <c r="H58" s="23" t="s">
        <v>729</v>
      </c>
      <c r="I58" s="23" t="s">
        <v>408</v>
      </c>
      <c r="J58" s="23" t="s">
        <v>730</v>
      </c>
      <c r="K58" s="23"/>
      <c r="L58" s="23"/>
      <c r="M58" s="24"/>
      <c r="N58" s="24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>
      <c r="A59" s="36" t="s">
        <v>433</v>
      </c>
      <c r="B59" s="12" t="s">
        <v>434</v>
      </c>
      <c r="C59" s="12" t="s">
        <v>46</v>
      </c>
      <c r="D59" s="12" t="s">
        <v>198</v>
      </c>
      <c r="E59" s="12" t="s">
        <v>435</v>
      </c>
      <c r="F59" s="12" t="s">
        <v>436</v>
      </c>
      <c r="G59" s="12">
        <v>75228.0</v>
      </c>
      <c r="H59" s="12" t="s">
        <v>399</v>
      </c>
      <c r="I59" s="12" t="s">
        <v>437</v>
      </c>
      <c r="J59" s="12" t="s">
        <v>438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>
      <c r="A60" s="36" t="s">
        <v>731</v>
      </c>
      <c r="B60" s="12" t="s">
        <v>732</v>
      </c>
      <c r="C60" s="20"/>
      <c r="D60" s="12" t="s">
        <v>47</v>
      </c>
      <c r="E60" s="12" t="s">
        <v>733</v>
      </c>
      <c r="F60" s="12" t="s">
        <v>734</v>
      </c>
      <c r="G60" s="12">
        <v>56735.0</v>
      </c>
      <c r="H60" s="12" t="s">
        <v>735</v>
      </c>
      <c r="I60" s="12" t="s">
        <v>437</v>
      </c>
      <c r="J60" s="12" t="s">
        <v>736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>
      <c r="A61" s="36" t="s">
        <v>737</v>
      </c>
      <c r="B61" s="12" t="s">
        <v>738</v>
      </c>
      <c r="C61" s="12" t="s">
        <v>15</v>
      </c>
      <c r="D61" s="12" t="s">
        <v>198</v>
      </c>
      <c r="E61" s="12" t="s">
        <v>739</v>
      </c>
      <c r="F61" s="12" t="s">
        <v>436</v>
      </c>
      <c r="G61" s="12">
        <v>75238.0</v>
      </c>
      <c r="H61" s="12" t="s">
        <v>399</v>
      </c>
      <c r="I61" s="12" t="s">
        <v>437</v>
      </c>
      <c r="J61" s="12" t="s">
        <v>740</v>
      </c>
      <c r="K61" s="12" t="s">
        <v>741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>
      <c r="A62" s="36" t="s">
        <v>742</v>
      </c>
      <c r="B62" s="12" t="s">
        <v>743</v>
      </c>
      <c r="C62" s="12" t="s">
        <v>15</v>
      </c>
      <c r="D62" s="12" t="s">
        <v>47</v>
      </c>
      <c r="E62" s="12" t="s">
        <v>744</v>
      </c>
      <c r="F62" s="12" t="s">
        <v>745</v>
      </c>
      <c r="G62" s="12">
        <v>9720.0</v>
      </c>
      <c r="H62" s="20"/>
      <c r="I62" s="12" t="s">
        <v>408</v>
      </c>
      <c r="J62" s="12" t="s">
        <v>746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>
      <c r="A63" s="36" t="s">
        <v>394</v>
      </c>
      <c r="B63" s="12" t="s">
        <v>395</v>
      </c>
      <c r="C63" s="20"/>
      <c r="D63" s="21" t="s">
        <v>747</v>
      </c>
      <c r="E63" s="12" t="s">
        <v>748</v>
      </c>
      <c r="F63" s="12" t="s">
        <v>398</v>
      </c>
      <c r="G63" s="12">
        <v>78040.0</v>
      </c>
      <c r="H63" s="12" t="s">
        <v>399</v>
      </c>
      <c r="I63" s="12" t="s">
        <v>400</v>
      </c>
      <c r="J63" s="12" t="s">
        <v>401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>
      <c r="A64" s="37" t="s">
        <v>749</v>
      </c>
      <c r="B64" s="23" t="s">
        <v>750</v>
      </c>
      <c r="C64" s="23" t="s">
        <v>46</v>
      </c>
      <c r="D64" s="12" t="s">
        <v>198</v>
      </c>
      <c r="E64" s="23"/>
      <c r="F64" s="23"/>
      <c r="G64" s="23"/>
      <c r="H64" s="23"/>
      <c r="I64" s="23"/>
      <c r="J64" s="21"/>
      <c r="K64" s="23"/>
      <c r="L64" s="23"/>
      <c r="M64" s="24"/>
      <c r="N64" s="24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>
      <c r="A65" s="36" t="s">
        <v>751</v>
      </c>
      <c r="B65" s="12" t="s">
        <v>752</v>
      </c>
      <c r="C65" s="12" t="s">
        <v>15</v>
      </c>
      <c r="D65" s="12" t="s">
        <v>47</v>
      </c>
      <c r="E65" s="12" t="s">
        <v>753</v>
      </c>
      <c r="F65" s="12" t="s">
        <v>754</v>
      </c>
      <c r="G65" s="12">
        <v>6012.0</v>
      </c>
      <c r="H65" s="12" t="s">
        <v>716</v>
      </c>
      <c r="I65" s="12" t="s">
        <v>408</v>
      </c>
      <c r="J65" s="12" t="s">
        <v>755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>
      <c r="A66" s="39" t="s">
        <v>394</v>
      </c>
      <c r="B66" s="12" t="s">
        <v>395</v>
      </c>
      <c r="C66" s="20"/>
      <c r="D66" s="21" t="s">
        <v>756</v>
      </c>
      <c r="E66" s="12" t="s">
        <v>748</v>
      </c>
      <c r="F66" s="12" t="s">
        <v>398</v>
      </c>
      <c r="G66" s="12">
        <v>78040.0</v>
      </c>
      <c r="H66" s="12" t="s">
        <v>399</v>
      </c>
      <c r="I66" s="12" t="s">
        <v>400</v>
      </c>
      <c r="J66" s="12" t="s">
        <v>401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>
      <c r="A67" s="39" t="s">
        <v>757</v>
      </c>
      <c r="B67" s="12" t="s">
        <v>434</v>
      </c>
      <c r="C67" s="12"/>
      <c r="D67" s="12" t="s">
        <v>758</v>
      </c>
      <c r="E67" s="12" t="s">
        <v>435</v>
      </c>
      <c r="F67" s="12" t="s">
        <v>436</v>
      </c>
      <c r="G67" s="12">
        <v>75228.0</v>
      </c>
      <c r="H67" s="12" t="s">
        <v>399</v>
      </c>
      <c r="I67" s="12" t="s">
        <v>437</v>
      </c>
      <c r="J67" s="12" t="s">
        <v>438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>
      <c r="A68" s="36" t="s">
        <v>682</v>
      </c>
      <c r="B68" s="12" t="s">
        <v>683</v>
      </c>
      <c r="C68" s="20"/>
      <c r="D68" s="12" t="s">
        <v>759</v>
      </c>
      <c r="E68" s="12" t="s">
        <v>685</v>
      </c>
      <c r="F68" s="12" t="s">
        <v>686</v>
      </c>
      <c r="G68" s="40" t="s">
        <v>760</v>
      </c>
      <c r="H68" s="12" t="s">
        <v>667</v>
      </c>
      <c r="I68" s="12" t="s">
        <v>659</v>
      </c>
      <c r="J68" s="12" t="s">
        <v>687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>
      <c r="A69" s="36" t="s">
        <v>761</v>
      </c>
      <c r="B69" s="12" t="s">
        <v>762</v>
      </c>
      <c r="C69" s="20"/>
      <c r="D69" s="12" t="s">
        <v>697</v>
      </c>
      <c r="E69" s="12" t="s">
        <v>763</v>
      </c>
      <c r="F69" s="12" t="s">
        <v>764</v>
      </c>
      <c r="G69" s="12">
        <v>83702.0</v>
      </c>
      <c r="H69" s="12" t="s">
        <v>765</v>
      </c>
      <c r="I69" s="12" t="s">
        <v>400</v>
      </c>
      <c r="J69" s="12" t="s">
        <v>766</v>
      </c>
      <c r="K69" s="12" t="s">
        <v>767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>
      <c r="A70" s="39" t="s">
        <v>768</v>
      </c>
      <c r="B70" s="12" t="s">
        <v>440</v>
      </c>
      <c r="C70" s="20"/>
      <c r="D70" s="12" t="s">
        <v>697</v>
      </c>
      <c r="E70" s="12" t="s">
        <v>441</v>
      </c>
      <c r="F70" s="12" t="s">
        <v>442</v>
      </c>
      <c r="G70" s="12">
        <v>31050.0</v>
      </c>
      <c r="H70" s="12" t="s">
        <v>442</v>
      </c>
      <c r="I70" s="12" t="s">
        <v>443</v>
      </c>
      <c r="J70" s="12" t="s">
        <v>444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>
      <c r="A71" s="36" t="s">
        <v>769</v>
      </c>
      <c r="B71" s="12" t="s">
        <v>701</v>
      </c>
      <c r="C71" s="20"/>
      <c r="D71" s="12" t="s">
        <v>198</v>
      </c>
      <c r="E71" s="12" t="s">
        <v>770</v>
      </c>
      <c r="F71" s="12" t="s">
        <v>771</v>
      </c>
      <c r="G71" s="32" t="s">
        <v>772</v>
      </c>
      <c r="H71" s="12" t="s">
        <v>667</v>
      </c>
      <c r="I71" s="12" t="s">
        <v>408</v>
      </c>
      <c r="J71" s="12" t="s">
        <v>704</v>
      </c>
      <c r="K71" s="12" t="s">
        <v>773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>
      <c r="A72" s="36" t="s">
        <v>774</v>
      </c>
      <c r="B72" s="12" t="s">
        <v>775</v>
      </c>
      <c r="C72" s="20"/>
      <c r="D72" s="12" t="s">
        <v>697</v>
      </c>
      <c r="E72" s="12" t="s">
        <v>776</v>
      </c>
      <c r="F72" s="12" t="s">
        <v>777</v>
      </c>
      <c r="G72" s="32" t="s">
        <v>778</v>
      </c>
      <c r="H72" s="12"/>
      <c r="I72" s="12" t="s">
        <v>408</v>
      </c>
      <c r="J72" s="12"/>
      <c r="K72" s="12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>
      <c r="A73" s="36" t="s">
        <v>655</v>
      </c>
      <c r="B73" s="12" t="s">
        <v>656</v>
      </c>
      <c r="C73" s="12"/>
      <c r="D73" s="23" t="s">
        <v>779</v>
      </c>
      <c r="E73" s="12" t="s">
        <v>657</v>
      </c>
      <c r="F73" s="12" t="s">
        <v>658</v>
      </c>
      <c r="G73" s="12">
        <v>5011.0</v>
      </c>
      <c r="H73" s="12" t="s">
        <v>414</v>
      </c>
      <c r="I73" s="12" t="s">
        <v>659</v>
      </c>
      <c r="J73" s="12" t="s">
        <v>660</v>
      </c>
      <c r="K73" s="12" t="s">
        <v>780</v>
      </c>
      <c r="L73" s="12" t="s">
        <v>662</v>
      </c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>
      <c r="A74" s="36" t="s">
        <v>781</v>
      </c>
      <c r="B74" s="12" t="s">
        <v>782</v>
      </c>
      <c r="C74" s="12"/>
      <c r="D74" s="23" t="s">
        <v>783</v>
      </c>
      <c r="E74" s="12" t="s">
        <v>784</v>
      </c>
      <c r="F74" s="12" t="s">
        <v>785</v>
      </c>
      <c r="G74" s="12" t="s">
        <v>786</v>
      </c>
      <c r="H74" s="12" t="s">
        <v>282</v>
      </c>
      <c r="I74" s="12" t="s">
        <v>230</v>
      </c>
      <c r="J74" s="12" t="s">
        <v>787</v>
      </c>
      <c r="K74" s="12"/>
      <c r="L74" s="12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>
      <c r="A75" s="36" t="s">
        <v>433</v>
      </c>
      <c r="B75" s="12" t="s">
        <v>434</v>
      </c>
      <c r="C75" s="12"/>
      <c r="D75" s="12" t="s">
        <v>788</v>
      </c>
      <c r="E75" s="12" t="s">
        <v>435</v>
      </c>
      <c r="F75" s="12" t="s">
        <v>436</v>
      </c>
      <c r="G75" s="12">
        <v>75228.0</v>
      </c>
      <c r="H75" s="12" t="s">
        <v>399</v>
      </c>
      <c r="I75" s="12" t="s">
        <v>437</v>
      </c>
      <c r="J75" s="12" t="s">
        <v>438</v>
      </c>
      <c r="K75" s="12" t="s">
        <v>789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>
      <c r="A76" s="36" t="s">
        <v>790</v>
      </c>
      <c r="B76" s="12" t="s">
        <v>791</v>
      </c>
      <c r="C76" s="12"/>
      <c r="D76" s="12" t="s">
        <v>47</v>
      </c>
      <c r="E76" s="12" t="s">
        <v>792</v>
      </c>
      <c r="F76" s="12" t="s">
        <v>793</v>
      </c>
      <c r="G76" s="12" t="s">
        <v>794</v>
      </c>
      <c r="H76" s="12" t="s">
        <v>795</v>
      </c>
      <c r="I76" s="12" t="s">
        <v>796</v>
      </c>
      <c r="J76" s="12" t="s">
        <v>797</v>
      </c>
      <c r="K76" s="12" t="s">
        <v>798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>
      <c r="A77" s="39" t="s">
        <v>394</v>
      </c>
      <c r="B77" s="12" t="s">
        <v>395</v>
      </c>
      <c r="C77" s="20"/>
      <c r="D77" s="21" t="s">
        <v>799</v>
      </c>
      <c r="E77" s="12" t="s">
        <v>748</v>
      </c>
      <c r="F77" s="12" t="s">
        <v>398</v>
      </c>
      <c r="G77" s="12">
        <v>78040.0</v>
      </c>
      <c r="H77" s="12" t="s">
        <v>399</v>
      </c>
      <c r="I77" s="12" t="s">
        <v>400</v>
      </c>
      <c r="J77" s="12" t="s">
        <v>401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>
      <c r="A78" s="39" t="s">
        <v>439</v>
      </c>
      <c r="B78" s="12" t="s">
        <v>440</v>
      </c>
      <c r="C78" s="20"/>
      <c r="D78" s="12" t="s">
        <v>800</v>
      </c>
      <c r="E78" s="12" t="s">
        <v>441</v>
      </c>
      <c r="F78" s="12" t="s">
        <v>442</v>
      </c>
      <c r="G78" s="12">
        <v>31050.0</v>
      </c>
      <c r="H78" s="12" t="s">
        <v>442</v>
      </c>
      <c r="I78" s="12" t="s">
        <v>443</v>
      </c>
      <c r="J78" s="12" t="s">
        <v>444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>
      <c r="A79" s="37" t="s">
        <v>425</v>
      </c>
      <c r="B79" s="23" t="s">
        <v>426</v>
      </c>
      <c r="C79" s="23" t="s">
        <v>15</v>
      </c>
      <c r="D79" s="12" t="s">
        <v>88</v>
      </c>
      <c r="E79" s="23" t="s">
        <v>428</v>
      </c>
      <c r="F79" s="23" t="s">
        <v>429</v>
      </c>
      <c r="G79" s="23">
        <v>4310.0</v>
      </c>
      <c r="H79" s="23" t="s">
        <v>801</v>
      </c>
      <c r="I79" s="23" t="s">
        <v>408</v>
      </c>
      <c r="J79" s="21" t="s">
        <v>431</v>
      </c>
      <c r="K79" s="23" t="s">
        <v>802</v>
      </c>
      <c r="L79" s="23"/>
      <c r="M79" s="24"/>
      <c r="N79" s="24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>
      <c r="A80" s="12" t="s">
        <v>803</v>
      </c>
      <c r="B80" s="12" t="s">
        <v>804</v>
      </c>
      <c r="C80" s="20"/>
      <c r="D80" s="12" t="s">
        <v>697</v>
      </c>
      <c r="E80" s="12" t="s">
        <v>805</v>
      </c>
      <c r="F80" s="12" t="s">
        <v>806</v>
      </c>
      <c r="G80" s="12" t="s">
        <v>807</v>
      </c>
      <c r="H80" s="12"/>
      <c r="I80" s="12" t="s">
        <v>808</v>
      </c>
      <c r="J80" s="12" t="s">
        <v>803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>
      <c r="A81" s="20"/>
      <c r="B81" s="20"/>
      <c r="C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>
      <c r="A82" s="20"/>
      <c r="B82" s="20"/>
      <c r="C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>
      <c r="A83" s="20"/>
      <c r="B83" s="20"/>
      <c r="C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>
      <c r="A84" s="20"/>
      <c r="B84" s="20"/>
      <c r="C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>
      <c r="A85" s="20"/>
      <c r="B85" s="20"/>
      <c r="C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>
      <c r="A86" s="20"/>
      <c r="B86" s="20"/>
      <c r="C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>
      <c r="A87" s="20"/>
      <c r="B87" s="20"/>
      <c r="C87" s="20"/>
      <c r="D87" s="12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>
      <c r="A92" s="20"/>
      <c r="B92" s="20"/>
      <c r="C92" s="20"/>
      <c r="D92" s="31" t="s">
        <v>809</v>
      </c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>
      <c r="A93" s="20"/>
      <c r="B93" s="20"/>
      <c r="C93" s="20"/>
      <c r="D93" s="12" t="s">
        <v>65</v>
      </c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>
      <c r="A94" s="20"/>
      <c r="B94" s="20"/>
      <c r="C94" s="20"/>
      <c r="D94" s="12" t="s">
        <v>47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>
      <c r="A95" s="20"/>
      <c r="B95" s="20"/>
      <c r="C95" s="20"/>
      <c r="D95" s="12" t="s">
        <v>54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>
      <c r="A96" s="20"/>
      <c r="B96" s="20"/>
      <c r="C96" s="20"/>
      <c r="D96" s="12" t="s">
        <v>38</v>
      </c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>
      <c r="A97" s="20"/>
      <c r="B97" s="20"/>
      <c r="C97" s="20"/>
      <c r="D97" s="12" t="s">
        <v>198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>
      <c r="A98" s="20"/>
      <c r="B98" s="20"/>
      <c r="C98" s="20"/>
      <c r="D98" s="12" t="s">
        <v>16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>
      <c r="A99" s="20"/>
      <c r="B99" s="20"/>
      <c r="C99" s="20"/>
      <c r="D99" s="12" t="s">
        <v>273</v>
      </c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</sheetData>
  <hyperlinks>
    <hyperlink r:id="rId1" ref="B4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38"/>
    <col customWidth="1" min="2" max="2" width="15.0"/>
    <col customWidth="1" min="3" max="3" width="8.38"/>
    <col customWidth="1" min="4" max="4" width="19.75"/>
    <col customWidth="1" min="5" max="5" width="48.25"/>
    <col customWidth="1" min="6" max="6" width="19.75"/>
    <col customWidth="1" min="7" max="7" width="11.5"/>
    <col customWidth="1" min="8" max="8" width="128.0"/>
    <col customWidth="1" min="9" max="9" width="16.75"/>
    <col customWidth="1" min="10" max="10" width="20.75"/>
    <col customWidth="1" min="11" max="11" width="22.63"/>
  </cols>
  <sheetData>
    <row r="1">
      <c r="A1" s="41" t="s">
        <v>810</v>
      </c>
      <c r="B1" s="41" t="s">
        <v>1</v>
      </c>
      <c r="C1" s="41" t="s">
        <v>811</v>
      </c>
      <c r="D1" s="41" t="s">
        <v>812</v>
      </c>
      <c r="E1" s="41" t="s">
        <v>9</v>
      </c>
      <c r="F1" s="41" t="s">
        <v>813</v>
      </c>
      <c r="G1" s="41" t="s">
        <v>814</v>
      </c>
      <c r="H1" s="42" t="s">
        <v>10</v>
      </c>
      <c r="I1" s="43"/>
      <c r="J1" s="44"/>
      <c r="K1" s="44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</row>
    <row r="2">
      <c r="A2" s="46" t="s">
        <v>815</v>
      </c>
      <c r="B2" s="21" t="s">
        <v>816</v>
      </c>
      <c r="C2" s="47" t="s">
        <v>817</v>
      </c>
      <c r="D2" s="21" t="s">
        <v>818</v>
      </c>
      <c r="E2" s="21" t="s">
        <v>819</v>
      </c>
      <c r="F2" s="21" t="s">
        <v>820</v>
      </c>
      <c r="G2" s="21" t="s">
        <v>821</v>
      </c>
      <c r="H2" s="21" t="s">
        <v>822</v>
      </c>
      <c r="I2" s="48"/>
      <c r="J2" s="21"/>
    </row>
    <row r="3">
      <c r="A3" s="46" t="s">
        <v>823</v>
      </c>
      <c r="B3" s="21" t="s">
        <v>824</v>
      </c>
      <c r="C3" s="47" t="s">
        <v>825</v>
      </c>
      <c r="D3" s="21" t="s">
        <v>826</v>
      </c>
      <c r="E3" s="21" t="s">
        <v>827</v>
      </c>
      <c r="F3" s="21" t="s">
        <v>828</v>
      </c>
      <c r="H3" s="21" t="s">
        <v>829</v>
      </c>
      <c r="I3" s="49"/>
      <c r="J3" s="12"/>
    </row>
    <row r="4">
      <c r="A4" s="12" t="s">
        <v>830</v>
      </c>
      <c r="B4" s="12" t="s">
        <v>831</v>
      </c>
      <c r="C4" s="47" t="s">
        <v>832</v>
      </c>
      <c r="D4" s="12" t="s">
        <v>833</v>
      </c>
      <c r="E4" s="12" t="s">
        <v>834</v>
      </c>
      <c r="F4" s="12"/>
      <c r="G4" s="12"/>
      <c r="H4" s="12" t="s">
        <v>835</v>
      </c>
      <c r="I4" s="47"/>
      <c r="J4" s="12"/>
      <c r="K4" s="21" t="s">
        <v>836</v>
      </c>
    </row>
    <row r="5">
      <c r="A5" s="12" t="s">
        <v>837</v>
      </c>
      <c r="B5" s="50" t="s">
        <v>838</v>
      </c>
      <c r="C5" s="51" t="s">
        <v>839</v>
      </c>
      <c r="D5" s="12" t="s">
        <v>840</v>
      </c>
      <c r="E5" s="12"/>
      <c r="F5" s="12"/>
      <c r="G5" s="50"/>
      <c r="H5" s="12" t="s">
        <v>841</v>
      </c>
      <c r="I5" s="49"/>
      <c r="J5" s="12"/>
    </row>
    <row r="6">
      <c r="A6" s="12" t="s">
        <v>842</v>
      </c>
      <c r="B6" s="12" t="s">
        <v>843</v>
      </c>
      <c r="C6" s="47" t="s">
        <v>844</v>
      </c>
      <c r="D6" s="12"/>
      <c r="E6" s="12"/>
      <c r="F6" s="12"/>
      <c r="G6" s="20"/>
      <c r="H6" s="12" t="s">
        <v>845</v>
      </c>
      <c r="I6" s="47"/>
      <c r="J6" s="12"/>
    </row>
    <row r="7">
      <c r="A7" s="12" t="s">
        <v>846</v>
      </c>
      <c r="B7" s="12" t="s">
        <v>847</v>
      </c>
      <c r="C7" s="47" t="s">
        <v>848</v>
      </c>
      <c r="D7" s="12" t="s">
        <v>849</v>
      </c>
      <c r="E7" s="12" t="s">
        <v>850</v>
      </c>
      <c r="F7" s="12"/>
      <c r="G7" s="20"/>
      <c r="H7" s="12" t="s">
        <v>851</v>
      </c>
      <c r="I7" s="47"/>
      <c r="J7" s="12"/>
    </row>
    <row r="8">
      <c r="A8" s="12" t="s">
        <v>852</v>
      </c>
      <c r="B8" s="12" t="s">
        <v>853</v>
      </c>
      <c r="C8" s="47" t="s">
        <v>854</v>
      </c>
      <c r="D8" s="12" t="s">
        <v>855</v>
      </c>
      <c r="E8" s="12"/>
      <c r="F8" s="12"/>
      <c r="G8" s="20"/>
      <c r="H8" s="12" t="s">
        <v>856</v>
      </c>
      <c r="I8" s="47"/>
      <c r="J8" s="12"/>
    </row>
    <row r="9">
      <c r="A9" s="21" t="s">
        <v>857</v>
      </c>
      <c r="B9" s="21" t="s">
        <v>858</v>
      </c>
      <c r="C9" s="47" t="s">
        <v>859</v>
      </c>
      <c r="D9" s="21" t="s">
        <v>860</v>
      </c>
      <c r="E9" s="21" t="s">
        <v>861</v>
      </c>
      <c r="F9" s="21"/>
      <c r="H9" s="21" t="s">
        <v>862</v>
      </c>
      <c r="I9" s="47"/>
      <c r="J9" s="12"/>
    </row>
    <row r="10">
      <c r="A10" s="21" t="s">
        <v>863</v>
      </c>
      <c r="B10" s="21" t="s">
        <v>864</v>
      </c>
      <c r="C10" s="47" t="s">
        <v>865</v>
      </c>
      <c r="D10" s="21"/>
      <c r="E10" s="21" t="s">
        <v>866</v>
      </c>
      <c r="F10" s="21"/>
      <c r="H10" s="21" t="s">
        <v>867</v>
      </c>
      <c r="I10" s="48"/>
      <c r="J10" s="12"/>
    </row>
    <row r="11">
      <c r="A11" s="21" t="s">
        <v>868</v>
      </c>
      <c r="B11" s="21" t="s">
        <v>869</v>
      </c>
      <c r="C11" s="47" t="s">
        <v>870</v>
      </c>
      <c r="D11" s="21" t="s">
        <v>871</v>
      </c>
      <c r="E11" s="21" t="s">
        <v>872</v>
      </c>
      <c r="F11" s="21"/>
      <c r="H11" s="21" t="s">
        <v>873</v>
      </c>
      <c r="I11" s="48"/>
      <c r="J11" s="12"/>
    </row>
    <row r="12">
      <c r="A12" s="21"/>
      <c r="B12" s="21"/>
      <c r="C12" s="47"/>
      <c r="D12" s="21"/>
      <c r="E12" s="21"/>
      <c r="F12" s="21"/>
      <c r="I12" s="48"/>
      <c r="J12" s="12"/>
    </row>
    <row r="13">
      <c r="A13" s="21"/>
      <c r="B13" s="21"/>
      <c r="C13" s="47"/>
      <c r="D13" s="21"/>
      <c r="E13" s="21"/>
      <c r="F13" s="21"/>
      <c r="I13" s="48"/>
      <c r="J13" s="21"/>
    </row>
    <row r="14">
      <c r="A14" s="52" t="s">
        <v>874</v>
      </c>
      <c r="B14" s="21"/>
      <c r="C14" s="47"/>
      <c r="D14" s="21"/>
      <c r="E14" s="21"/>
      <c r="F14" s="21"/>
      <c r="I14" s="48"/>
      <c r="J14" s="21"/>
    </row>
    <row r="15">
      <c r="A15" s="21" t="s">
        <v>875</v>
      </c>
      <c r="B15" s="21"/>
      <c r="C15" s="47"/>
      <c r="D15" s="21"/>
      <c r="E15" s="21"/>
      <c r="F15" s="21"/>
      <c r="I15" s="48"/>
      <c r="J15" s="21"/>
    </row>
    <row r="16">
      <c r="A16" s="21" t="s">
        <v>876</v>
      </c>
      <c r="B16" s="21"/>
      <c r="C16" s="47"/>
      <c r="D16" s="21"/>
      <c r="E16" s="21"/>
      <c r="F16" s="21"/>
      <c r="G16" s="21"/>
      <c r="I16" s="48"/>
      <c r="J16" s="21"/>
    </row>
    <row r="17">
      <c r="A17" s="21" t="s">
        <v>877</v>
      </c>
      <c r="B17" s="21"/>
      <c r="C17" s="47"/>
      <c r="D17" s="21"/>
      <c r="E17" s="21"/>
      <c r="F17" s="21"/>
      <c r="I17" s="48"/>
      <c r="J17" s="21"/>
    </row>
    <row r="18">
      <c r="A18" s="12" t="s">
        <v>878</v>
      </c>
      <c r="B18" s="12"/>
      <c r="C18" s="47"/>
      <c r="D18" s="12"/>
      <c r="E18" s="12"/>
      <c r="F18" s="12"/>
      <c r="G18" s="20"/>
      <c r="H18" s="12"/>
      <c r="I18" s="20"/>
      <c r="J18" s="21"/>
    </row>
    <row r="19">
      <c r="A19" s="21" t="s">
        <v>879</v>
      </c>
      <c r="B19" s="21"/>
      <c r="C19" s="47"/>
      <c r="D19" s="21"/>
      <c r="E19" s="21"/>
      <c r="F19" s="21"/>
      <c r="I19" s="48"/>
    </row>
    <row r="20">
      <c r="C20" s="47"/>
      <c r="I20" s="48"/>
    </row>
    <row r="21">
      <c r="C21" s="47"/>
      <c r="I21" s="48"/>
    </row>
    <row r="22">
      <c r="A22" s="53" t="s">
        <v>880</v>
      </c>
      <c r="B22" s="54"/>
      <c r="C22" s="55"/>
      <c r="D22" s="54"/>
      <c r="E22" s="54"/>
      <c r="F22" s="54"/>
      <c r="G22" s="54"/>
      <c r="H22" s="54"/>
      <c r="I22" s="56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</row>
    <row r="23">
      <c r="C23" s="47"/>
      <c r="I23" s="48"/>
    </row>
    <row r="24">
      <c r="C24" s="47"/>
      <c r="I24" s="48"/>
    </row>
    <row r="25">
      <c r="C25" s="47"/>
      <c r="I25" s="48"/>
    </row>
    <row r="26">
      <c r="C26" s="47"/>
      <c r="I26" s="48"/>
    </row>
    <row r="27">
      <c r="C27" s="47"/>
      <c r="I27" s="48"/>
    </row>
    <row r="28">
      <c r="A28" s="12"/>
      <c r="B28" s="20"/>
      <c r="C28" s="20"/>
      <c r="D28" s="20"/>
      <c r="E28" s="20"/>
      <c r="F28" s="20"/>
      <c r="G28" s="20"/>
      <c r="H28" s="12"/>
      <c r="I28" s="12"/>
      <c r="J28" s="20"/>
    </row>
    <row r="29">
      <c r="A29" s="12"/>
      <c r="B29" s="20"/>
      <c r="C29" s="20"/>
      <c r="D29" s="12"/>
      <c r="E29" s="12"/>
      <c r="F29" s="12"/>
      <c r="G29" s="20"/>
      <c r="H29" s="12"/>
      <c r="I29" s="20"/>
      <c r="J29" s="20"/>
    </row>
    <row r="30">
      <c r="A30" s="12"/>
      <c r="B30" s="20"/>
      <c r="C30" s="20"/>
      <c r="D30" s="12"/>
      <c r="F30" s="12"/>
      <c r="G30" s="20"/>
      <c r="H30" s="12"/>
      <c r="I30" s="20"/>
      <c r="J30" s="20"/>
    </row>
    <row r="31">
      <c r="A31" s="12"/>
      <c r="B31" s="20"/>
      <c r="C31" s="20"/>
      <c r="D31" s="20"/>
      <c r="F31" s="20"/>
      <c r="G31" s="20"/>
      <c r="H31" s="12"/>
      <c r="I31" s="20"/>
      <c r="J31" s="20"/>
    </row>
    <row r="32">
      <c r="A32" s="12"/>
      <c r="B32" s="20"/>
      <c r="C32" s="20"/>
      <c r="D32" s="12"/>
      <c r="E32" s="12"/>
      <c r="F32" s="12"/>
      <c r="G32" s="20"/>
      <c r="H32" s="12"/>
      <c r="I32" s="20"/>
      <c r="J32" s="20"/>
    </row>
    <row r="33">
      <c r="A33" s="12"/>
      <c r="B33" s="20"/>
      <c r="C33" s="20"/>
      <c r="D33" s="12"/>
      <c r="E33" s="12"/>
      <c r="F33" s="12"/>
      <c r="G33" s="20"/>
      <c r="H33" s="12"/>
      <c r="I33" s="20"/>
      <c r="J33" s="12"/>
    </row>
    <row r="34">
      <c r="A34" s="12"/>
      <c r="B34" s="20"/>
      <c r="C34" s="20"/>
      <c r="D34" s="20"/>
      <c r="E34" s="12"/>
      <c r="F34" s="20"/>
      <c r="G34" s="20"/>
      <c r="H34" s="12"/>
      <c r="I34" s="20"/>
      <c r="J34" s="12"/>
    </row>
    <row r="35">
      <c r="A35" s="12"/>
      <c r="B35" s="20"/>
      <c r="C35" s="20"/>
      <c r="D35" s="20"/>
      <c r="E35" s="12"/>
      <c r="F35" s="20"/>
      <c r="G35" s="20"/>
      <c r="H35" s="12"/>
      <c r="I35" s="20"/>
      <c r="J35" s="20"/>
    </row>
    <row r="36">
      <c r="A36" s="21"/>
      <c r="B36" s="21"/>
      <c r="C36" s="21"/>
      <c r="D36" s="21"/>
      <c r="E36" s="21"/>
      <c r="F36" s="21"/>
      <c r="G36" s="21"/>
    </row>
    <row r="37">
      <c r="A37" s="21"/>
      <c r="D37" s="21"/>
      <c r="E37" s="21"/>
      <c r="F37" s="21"/>
      <c r="H37" s="12"/>
      <c r="J37" s="21"/>
    </row>
    <row r="38">
      <c r="A38" s="21"/>
      <c r="E38" s="21"/>
      <c r="J38" s="21"/>
    </row>
    <row r="40">
      <c r="A40" s="21"/>
      <c r="E4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8.63"/>
  </cols>
  <sheetData>
    <row r="1">
      <c r="A1" s="57" t="s">
        <v>881</v>
      </c>
      <c r="B1" s="57" t="s">
        <v>882</v>
      </c>
    </row>
    <row r="2">
      <c r="A2" s="52"/>
      <c r="B2" s="52"/>
    </row>
    <row r="3">
      <c r="A3" s="58" t="s">
        <v>883</v>
      </c>
      <c r="B3" s="52"/>
    </row>
    <row r="4">
      <c r="A4" s="21" t="s">
        <v>884</v>
      </c>
      <c r="B4" s="21" t="s">
        <v>885</v>
      </c>
    </row>
    <row r="5">
      <c r="A5" s="10" t="s">
        <v>886</v>
      </c>
      <c r="B5" s="21" t="s">
        <v>887</v>
      </c>
    </row>
    <row r="6">
      <c r="A6" s="21" t="s">
        <v>888</v>
      </c>
      <c r="B6" s="21" t="s">
        <v>889</v>
      </c>
    </row>
    <row r="7">
      <c r="A7" s="12" t="s">
        <v>890</v>
      </c>
      <c r="B7" s="21" t="s">
        <v>891</v>
      </c>
    </row>
    <row r="8">
      <c r="A8" s="21" t="s">
        <v>892</v>
      </c>
      <c r="B8" s="21" t="s">
        <v>650</v>
      </c>
    </row>
    <row r="9">
      <c r="A9" s="21" t="s">
        <v>893</v>
      </c>
      <c r="B9" s="21" t="s">
        <v>894</v>
      </c>
    </row>
    <row r="10">
      <c r="A10" s="23" t="s">
        <v>895</v>
      </c>
      <c r="B10" s="21" t="s">
        <v>896</v>
      </c>
    </row>
    <row r="11">
      <c r="A11" s="21" t="s">
        <v>897</v>
      </c>
      <c r="B11" s="21" t="s">
        <v>898</v>
      </c>
    </row>
    <row r="12">
      <c r="A12" s="10" t="s">
        <v>899</v>
      </c>
      <c r="B12" s="21" t="s">
        <v>900</v>
      </c>
    </row>
    <row r="13">
      <c r="A13" s="12" t="s">
        <v>579</v>
      </c>
      <c r="B13" s="21" t="s">
        <v>580</v>
      </c>
    </row>
    <row r="14">
      <c r="A14" s="10" t="s">
        <v>901</v>
      </c>
      <c r="B14" s="21" t="s">
        <v>902</v>
      </c>
    </row>
    <row r="15">
      <c r="A15" s="12" t="s">
        <v>903</v>
      </c>
      <c r="B15" s="21" t="s">
        <v>904</v>
      </c>
    </row>
    <row r="16">
      <c r="A16" s="10" t="s">
        <v>454</v>
      </c>
      <c r="B16" s="10" t="s">
        <v>455</v>
      </c>
    </row>
    <row r="18">
      <c r="A18" s="58" t="s">
        <v>905</v>
      </c>
    </row>
    <row r="19">
      <c r="A19" s="21" t="s">
        <v>488</v>
      </c>
      <c r="B19" s="21" t="s">
        <v>489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3" max="3" width="62.5"/>
    <col customWidth="1" min="5" max="5" width="42.13"/>
    <col customWidth="1" min="7" max="7" width="22.75"/>
  </cols>
  <sheetData>
    <row r="1">
      <c r="A1" s="59" t="s">
        <v>906</v>
      </c>
      <c r="B1" s="59" t="s">
        <v>907</v>
      </c>
      <c r="C1" s="60" t="s">
        <v>908</v>
      </c>
      <c r="D1" s="60" t="s">
        <v>909</v>
      </c>
      <c r="E1" s="60" t="s">
        <v>910</v>
      </c>
      <c r="F1" s="60" t="s">
        <v>911</v>
      </c>
      <c r="G1" s="60" t="s">
        <v>912</v>
      </c>
      <c r="H1" s="60" t="s">
        <v>913</v>
      </c>
    </row>
    <row r="2">
      <c r="A2" s="21" t="s">
        <v>47</v>
      </c>
      <c r="B2" s="21">
        <v>1.0</v>
      </c>
      <c r="C2" s="21" t="s">
        <v>914</v>
      </c>
      <c r="D2" s="21">
        <v>1.0</v>
      </c>
      <c r="E2" s="21" t="s">
        <v>446</v>
      </c>
      <c r="F2" s="21">
        <v>1.0</v>
      </c>
    </row>
    <row r="3">
      <c r="A3" s="21" t="s">
        <v>54</v>
      </c>
      <c r="B3" s="21">
        <v>1.0</v>
      </c>
      <c r="C3" s="21" t="s">
        <v>914</v>
      </c>
      <c r="D3" s="21">
        <v>1.0</v>
      </c>
      <c r="E3" s="21" t="s">
        <v>446</v>
      </c>
      <c r="F3" s="21">
        <v>1.0</v>
      </c>
    </row>
    <row r="4">
      <c r="A4" s="21" t="s">
        <v>65</v>
      </c>
      <c r="B4" s="21">
        <v>1.0</v>
      </c>
      <c r="C4" s="21" t="s">
        <v>914</v>
      </c>
      <c r="D4" s="21">
        <v>1.0</v>
      </c>
      <c r="E4" s="21" t="s">
        <v>446</v>
      </c>
      <c r="F4" s="21">
        <v>1.0</v>
      </c>
    </row>
    <row r="5">
      <c r="A5" s="21" t="s">
        <v>38</v>
      </c>
      <c r="B5" s="21">
        <v>1.0</v>
      </c>
      <c r="C5" s="21" t="s">
        <v>914</v>
      </c>
      <c r="D5" s="21">
        <v>1.0</v>
      </c>
      <c r="E5" s="21" t="s">
        <v>446</v>
      </c>
      <c r="F5" s="21">
        <v>1.0</v>
      </c>
    </row>
    <row r="6">
      <c r="A6" s="21" t="s">
        <v>16</v>
      </c>
      <c r="B6" s="21">
        <v>1.0</v>
      </c>
      <c r="C6" s="21" t="s">
        <v>914</v>
      </c>
      <c r="D6" s="21">
        <v>1.0</v>
      </c>
      <c r="E6" s="21" t="s">
        <v>446</v>
      </c>
      <c r="F6" s="21">
        <v>1.0</v>
      </c>
    </row>
    <row r="7">
      <c r="A7" s="21" t="s">
        <v>273</v>
      </c>
      <c r="B7" s="21">
        <v>1.0</v>
      </c>
      <c r="C7" s="21" t="s">
        <v>914</v>
      </c>
      <c r="D7" s="21">
        <v>1.0</v>
      </c>
      <c r="E7" s="21" t="s">
        <v>446</v>
      </c>
      <c r="F7" s="21">
        <v>1.0</v>
      </c>
    </row>
    <row r="8">
      <c r="A8" s="21" t="s">
        <v>198</v>
      </c>
      <c r="B8" s="21">
        <v>1.0</v>
      </c>
      <c r="C8" s="21" t="s">
        <v>914</v>
      </c>
      <c r="D8" s="21">
        <v>1.0</v>
      </c>
      <c r="E8" s="21" t="s">
        <v>446</v>
      </c>
      <c r="F8" s="21">
        <v>1.0</v>
      </c>
    </row>
    <row r="10">
      <c r="A10" s="21" t="s">
        <v>47</v>
      </c>
      <c r="B10" s="21">
        <v>1.0</v>
      </c>
      <c r="C10" s="21" t="s">
        <v>914</v>
      </c>
      <c r="D10" s="21">
        <v>1.0</v>
      </c>
      <c r="E10" s="21" t="s">
        <v>446</v>
      </c>
      <c r="F10" s="21">
        <v>1.0</v>
      </c>
      <c r="G10" s="21" t="s">
        <v>54</v>
      </c>
      <c r="H10" s="21">
        <v>1.0</v>
      </c>
    </row>
    <row r="12">
      <c r="A12" s="21" t="s">
        <v>915</v>
      </c>
      <c r="B12" s="61">
        <v>45420.0</v>
      </c>
      <c r="C12" s="21" t="s">
        <v>446</v>
      </c>
      <c r="D12" s="21">
        <v>1.0</v>
      </c>
    </row>
    <row r="13">
      <c r="A13" s="21" t="s">
        <v>915</v>
      </c>
      <c r="B13" s="61">
        <v>45554.0</v>
      </c>
      <c r="C13" s="21" t="s">
        <v>916</v>
      </c>
      <c r="D13" s="21">
        <v>1.0</v>
      </c>
    </row>
    <row r="14">
      <c r="A14" s="21" t="s">
        <v>917</v>
      </c>
      <c r="B14" s="62" t="s">
        <v>918</v>
      </c>
      <c r="C14" s="21" t="s">
        <v>919</v>
      </c>
      <c r="D14" s="21">
        <v>1.0</v>
      </c>
    </row>
    <row r="15">
      <c r="A15" s="21" t="s">
        <v>920</v>
      </c>
      <c r="B15" s="62" t="s">
        <v>921</v>
      </c>
      <c r="C15" s="21" t="s">
        <v>922</v>
      </c>
      <c r="D15" s="21">
        <v>1.0</v>
      </c>
    </row>
    <row r="16">
      <c r="A16" s="21" t="s">
        <v>923</v>
      </c>
      <c r="B16" s="62" t="s">
        <v>924</v>
      </c>
      <c r="C16" s="21" t="s">
        <v>925</v>
      </c>
      <c r="D16" s="21">
        <v>1.0</v>
      </c>
    </row>
    <row r="17">
      <c r="A17" s="21" t="s">
        <v>923</v>
      </c>
      <c r="B17" s="62">
        <v>50.0</v>
      </c>
      <c r="C17" s="21" t="s">
        <v>925</v>
      </c>
      <c r="D17" s="21">
        <v>1.0</v>
      </c>
    </row>
    <row r="19">
      <c r="A19" s="21" t="s">
        <v>915</v>
      </c>
      <c r="B19" s="21">
        <v>20.0</v>
      </c>
      <c r="C19" s="21" t="s">
        <v>922</v>
      </c>
      <c r="D19" s="21">
        <v>1.0</v>
      </c>
      <c r="E19" s="21" t="s">
        <v>926</v>
      </c>
      <c r="F19" s="21">
        <v>1.0</v>
      </c>
      <c r="G19" s="21" t="s">
        <v>927</v>
      </c>
      <c r="H19" s="21">
        <v>1.0</v>
      </c>
    </row>
    <row r="21">
      <c r="A21" s="21" t="s">
        <v>915</v>
      </c>
      <c r="B21" s="21">
        <v>20.0</v>
      </c>
      <c r="C21" s="21" t="s">
        <v>917</v>
      </c>
      <c r="D21" s="21">
        <v>20.0</v>
      </c>
      <c r="E21" s="21" t="s">
        <v>925</v>
      </c>
      <c r="F21" s="21">
        <v>1.0</v>
      </c>
    </row>
    <row r="23">
      <c r="A23" s="21" t="s">
        <v>47</v>
      </c>
      <c r="B23" s="21">
        <v>1.0</v>
      </c>
      <c r="C23" s="21" t="s">
        <v>915</v>
      </c>
      <c r="D23" s="21">
        <v>20.0</v>
      </c>
      <c r="E23" s="21" t="s">
        <v>919</v>
      </c>
      <c r="F23" s="21">
        <v>1.0</v>
      </c>
    </row>
    <row r="25">
      <c r="A25" s="21" t="s">
        <v>928</v>
      </c>
      <c r="B25" s="21">
        <v>1.0</v>
      </c>
      <c r="C25" s="21" t="s">
        <v>446</v>
      </c>
      <c r="D25" s="21">
        <v>1.0</v>
      </c>
    </row>
    <row r="27">
      <c r="A27" s="21" t="s">
        <v>47</v>
      </c>
      <c r="B27" s="21">
        <v>1.0</v>
      </c>
      <c r="C27" s="21" t="s">
        <v>54</v>
      </c>
      <c r="D27" s="21">
        <v>1.0</v>
      </c>
      <c r="E27" s="21" t="s">
        <v>446</v>
      </c>
      <c r="F27" s="21">
        <v>1.0</v>
      </c>
    </row>
    <row r="29">
      <c r="A29" s="21" t="s">
        <v>47</v>
      </c>
      <c r="B29" s="21">
        <v>1.0</v>
      </c>
      <c r="C29" s="21" t="s">
        <v>926</v>
      </c>
      <c r="D29" s="21">
        <v>1.0</v>
      </c>
      <c r="E29" s="21" t="s">
        <v>922</v>
      </c>
      <c r="F29" s="2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6.5"/>
    <col customWidth="1" min="2" max="2" width="23.38"/>
    <col customWidth="1" min="3" max="3" width="12.13"/>
    <col customWidth="1" min="4" max="4" width="32.75"/>
    <col customWidth="1" min="5" max="5" width="24.0"/>
    <col customWidth="1" min="6" max="6" width="22.13"/>
    <col customWidth="1" min="7" max="7" width="9.0"/>
    <col customWidth="1" min="8" max="8" width="7.25"/>
    <col customWidth="1" min="9" max="9" width="10.88"/>
    <col customWidth="1" min="10" max="10" width="27.25"/>
    <col customWidth="1" min="11" max="11" width="139.88"/>
    <col customWidth="1" min="12" max="12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3" t="s">
        <v>929</v>
      </c>
      <c r="B2" s="23" t="s">
        <v>930</v>
      </c>
      <c r="C2" s="23" t="s">
        <v>15</v>
      </c>
      <c r="D2" s="23" t="s">
        <v>472</v>
      </c>
      <c r="E2" s="23" t="s">
        <v>931</v>
      </c>
      <c r="F2" s="23"/>
      <c r="G2" s="23"/>
      <c r="H2" s="23"/>
      <c r="I2" s="23"/>
      <c r="J2" s="24"/>
      <c r="K2" s="24"/>
      <c r="L2" s="23" t="s">
        <v>932</v>
      </c>
      <c r="M2" s="24"/>
      <c r="N2" s="24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>
      <c r="A3" s="63" t="s">
        <v>933</v>
      </c>
      <c r="B3" s="23" t="s">
        <v>934</v>
      </c>
      <c r="C3" s="23" t="s">
        <v>300</v>
      </c>
      <c r="D3" s="23" t="s">
        <v>935</v>
      </c>
      <c r="E3" s="23" t="s">
        <v>936</v>
      </c>
      <c r="F3" s="23"/>
      <c r="G3" s="23"/>
      <c r="H3" s="23"/>
      <c r="I3" s="23"/>
      <c r="J3" s="24"/>
      <c r="K3" s="24"/>
      <c r="L3" s="23" t="s">
        <v>937</v>
      </c>
      <c r="M3" s="24"/>
      <c r="N3" s="24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>
      <c r="A4" s="63" t="s">
        <v>938</v>
      </c>
      <c r="B4" s="23" t="s">
        <v>939</v>
      </c>
      <c r="C4" s="24"/>
      <c r="D4" s="23" t="s">
        <v>472</v>
      </c>
      <c r="E4" s="23" t="s">
        <v>940</v>
      </c>
      <c r="F4" s="23"/>
      <c r="G4" s="23"/>
      <c r="H4" s="23"/>
      <c r="I4" s="23"/>
      <c r="J4" s="24"/>
      <c r="K4" s="24"/>
      <c r="L4" s="23" t="s">
        <v>941</v>
      </c>
      <c r="M4" s="24"/>
      <c r="N4" s="24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>
      <c r="A5" s="63" t="s">
        <v>942</v>
      </c>
      <c r="B5" s="23" t="s">
        <v>943</v>
      </c>
      <c r="C5" s="23" t="s">
        <v>944</v>
      </c>
      <c r="D5" s="1" t="s">
        <v>945</v>
      </c>
      <c r="E5" s="23" t="s">
        <v>946</v>
      </c>
      <c r="F5" s="23"/>
      <c r="G5" s="23"/>
      <c r="H5" s="23"/>
      <c r="I5" s="23"/>
      <c r="J5" s="24"/>
      <c r="K5" s="23" t="s">
        <v>947</v>
      </c>
      <c r="L5" s="23" t="s">
        <v>948</v>
      </c>
      <c r="M5" s="24"/>
      <c r="N5" s="24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>
      <c r="A6" s="63" t="s">
        <v>949</v>
      </c>
      <c r="B6" s="23" t="s">
        <v>950</v>
      </c>
      <c r="C6" s="23" t="s">
        <v>951</v>
      </c>
      <c r="D6" s="64" t="s">
        <v>472</v>
      </c>
      <c r="E6" s="65" t="s">
        <v>952</v>
      </c>
      <c r="F6" s="23"/>
      <c r="G6" s="23"/>
      <c r="H6" s="23"/>
      <c r="I6" s="23"/>
      <c r="J6" s="23" t="s">
        <v>953</v>
      </c>
      <c r="K6" s="23" t="s">
        <v>954</v>
      </c>
      <c r="L6" s="23" t="s">
        <v>955</v>
      </c>
      <c r="M6" s="24"/>
      <c r="N6" s="24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>
      <c r="A7" s="63" t="s">
        <v>956</v>
      </c>
      <c r="B7" s="23" t="s">
        <v>957</v>
      </c>
      <c r="C7" s="23" t="s">
        <v>951</v>
      </c>
      <c r="D7" s="64" t="s">
        <v>472</v>
      </c>
      <c r="E7" s="65" t="s">
        <v>958</v>
      </c>
      <c r="F7" s="23"/>
      <c r="G7" s="23"/>
      <c r="H7" s="23"/>
      <c r="I7" s="23"/>
      <c r="J7" s="23" t="s">
        <v>959</v>
      </c>
      <c r="K7" s="23" t="s">
        <v>960</v>
      </c>
      <c r="L7" s="23" t="s">
        <v>961</v>
      </c>
      <c r="M7" s="24"/>
      <c r="N7" s="24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>
      <c r="A8" s="63" t="s">
        <v>962</v>
      </c>
      <c r="B8" s="23" t="s">
        <v>963</v>
      </c>
      <c r="C8" s="23" t="s">
        <v>300</v>
      </c>
      <c r="D8" s="64" t="s">
        <v>472</v>
      </c>
      <c r="E8" s="23" t="s">
        <v>964</v>
      </c>
      <c r="F8" s="23"/>
      <c r="G8" s="23"/>
      <c r="H8" s="23"/>
      <c r="I8" s="23"/>
      <c r="J8" s="24"/>
      <c r="K8" s="24"/>
      <c r="L8" s="23" t="s">
        <v>965</v>
      </c>
      <c r="M8" s="24"/>
      <c r="N8" s="24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>
      <c r="A9" s="63" t="s">
        <v>966</v>
      </c>
      <c r="B9" s="23" t="s">
        <v>967</v>
      </c>
      <c r="C9" s="23" t="s">
        <v>15</v>
      </c>
      <c r="D9" s="23" t="s">
        <v>472</v>
      </c>
      <c r="E9" s="23" t="s">
        <v>968</v>
      </c>
      <c r="F9" s="23"/>
      <c r="G9" s="23"/>
      <c r="H9" s="23"/>
      <c r="I9" s="23"/>
      <c r="J9" s="24"/>
      <c r="K9" s="24"/>
      <c r="L9" s="23" t="s">
        <v>969</v>
      </c>
      <c r="M9" s="24"/>
      <c r="N9" s="24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>
      <c r="A10" s="63" t="s">
        <v>970</v>
      </c>
      <c r="B10" s="23" t="s">
        <v>971</v>
      </c>
      <c r="C10" s="23" t="s">
        <v>15</v>
      </c>
      <c r="D10" s="23" t="s">
        <v>935</v>
      </c>
      <c r="E10" s="23" t="s">
        <v>972</v>
      </c>
      <c r="F10" s="23"/>
      <c r="G10" s="23"/>
      <c r="H10" s="23"/>
      <c r="I10" s="23"/>
      <c r="J10" s="24"/>
      <c r="K10" s="24"/>
      <c r="L10" s="23" t="s">
        <v>973</v>
      </c>
      <c r="M10" s="24"/>
      <c r="N10" s="24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>
      <c r="A11" s="63" t="s">
        <v>974</v>
      </c>
      <c r="B11" s="23" t="s">
        <v>975</v>
      </c>
      <c r="C11" s="23" t="s">
        <v>300</v>
      </c>
      <c r="D11" s="23" t="s">
        <v>935</v>
      </c>
      <c r="E11" s="23" t="s">
        <v>976</v>
      </c>
      <c r="F11" s="23"/>
      <c r="G11" s="23"/>
      <c r="H11" s="23"/>
      <c r="I11" s="23"/>
      <c r="J11" s="24"/>
      <c r="K11" s="24"/>
      <c r="L11" s="23" t="s">
        <v>977</v>
      </c>
      <c r="M11" s="24"/>
      <c r="N11" s="24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>
      <c r="A12" s="63" t="s">
        <v>978</v>
      </c>
      <c r="B12" s="23" t="s">
        <v>979</v>
      </c>
      <c r="C12" s="23" t="s">
        <v>300</v>
      </c>
      <c r="D12" s="23" t="s">
        <v>472</v>
      </c>
      <c r="E12" s="23" t="s">
        <v>980</v>
      </c>
      <c r="F12" s="23"/>
      <c r="G12" s="23"/>
      <c r="H12" s="23"/>
      <c r="I12" s="23"/>
      <c r="J12" s="24"/>
      <c r="K12" s="24"/>
      <c r="L12" s="23" t="s">
        <v>981</v>
      </c>
      <c r="M12" s="24"/>
      <c r="N12" s="24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>
      <c r="A13" s="63" t="s">
        <v>982</v>
      </c>
      <c r="B13" s="23" t="s">
        <v>640</v>
      </c>
      <c r="C13" s="23" t="s">
        <v>15</v>
      </c>
      <c r="D13" s="23" t="s">
        <v>983</v>
      </c>
      <c r="E13" s="23" t="s">
        <v>984</v>
      </c>
      <c r="F13" s="23"/>
      <c r="G13" s="23"/>
      <c r="H13" s="23"/>
      <c r="I13" s="23"/>
      <c r="J13" s="24"/>
      <c r="K13" s="23" t="s">
        <v>985</v>
      </c>
      <c r="L13" s="23" t="s">
        <v>986</v>
      </c>
      <c r="M13" s="24"/>
      <c r="N13" s="24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>
      <c r="A14" s="66" t="s">
        <v>987</v>
      </c>
      <c r="B14" s="67" t="s">
        <v>988</v>
      </c>
      <c r="C14" s="67" t="s">
        <v>15</v>
      </c>
      <c r="D14" s="67" t="s">
        <v>472</v>
      </c>
      <c r="E14" s="67" t="s">
        <v>989</v>
      </c>
      <c r="F14" s="67"/>
      <c r="G14" s="67"/>
      <c r="H14" s="67"/>
      <c r="I14" s="67"/>
      <c r="J14" s="68"/>
      <c r="K14" s="67"/>
      <c r="L14" s="67" t="s">
        <v>990</v>
      </c>
      <c r="M14" s="68"/>
      <c r="N14" s="68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</row>
    <row r="15">
      <c r="A15" s="63" t="s">
        <v>991</v>
      </c>
      <c r="B15" s="23" t="s">
        <v>992</v>
      </c>
      <c r="C15" s="23" t="s">
        <v>15</v>
      </c>
      <c r="D15" s="23" t="s">
        <v>472</v>
      </c>
      <c r="E15" s="70" t="s">
        <v>993</v>
      </c>
      <c r="F15" s="23"/>
      <c r="G15" s="23"/>
      <c r="H15" s="23"/>
      <c r="I15" s="23"/>
      <c r="J15" s="24"/>
      <c r="K15" s="24"/>
      <c r="L15" s="23" t="s">
        <v>994</v>
      </c>
      <c r="M15" s="24"/>
      <c r="N15" s="24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>
      <c r="A16" s="63" t="s">
        <v>895</v>
      </c>
      <c r="B16" s="23" t="s">
        <v>896</v>
      </c>
      <c r="C16" s="23" t="s">
        <v>37</v>
      </c>
      <c r="D16" s="23" t="s">
        <v>935</v>
      </c>
      <c r="E16" s="23" t="s">
        <v>995</v>
      </c>
      <c r="F16" s="23"/>
      <c r="G16" s="23"/>
      <c r="H16" s="23"/>
      <c r="I16" s="23"/>
      <c r="J16" s="24"/>
      <c r="K16" s="23" t="s">
        <v>996</v>
      </c>
      <c r="L16" s="23" t="s">
        <v>997</v>
      </c>
      <c r="M16" s="24"/>
      <c r="N16" s="24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>
      <c r="A17" s="63" t="s">
        <v>998</v>
      </c>
      <c r="B17" s="23" t="s">
        <v>999</v>
      </c>
      <c r="C17" s="24"/>
      <c r="D17" s="1" t="s">
        <v>1000</v>
      </c>
      <c r="E17" s="23" t="s">
        <v>1001</v>
      </c>
      <c r="F17" s="23"/>
      <c r="G17" s="23"/>
      <c r="H17" s="23"/>
      <c r="I17" s="23"/>
      <c r="J17" s="23" t="s">
        <v>1002</v>
      </c>
      <c r="K17" s="23" t="s">
        <v>1003</v>
      </c>
      <c r="L17" s="23" t="s">
        <v>1004</v>
      </c>
      <c r="M17" s="24"/>
      <c r="N17" s="24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>
      <c r="A18" s="63" t="s">
        <v>1005</v>
      </c>
      <c r="B18" s="23" t="s">
        <v>1006</v>
      </c>
      <c r="C18" s="23" t="s">
        <v>15</v>
      </c>
      <c r="D18" s="23" t="s">
        <v>472</v>
      </c>
      <c r="E18" s="23" t="s">
        <v>1007</v>
      </c>
      <c r="F18" s="23"/>
      <c r="G18" s="23"/>
      <c r="H18" s="23"/>
      <c r="I18" s="23"/>
      <c r="J18" s="24"/>
      <c r="K18" s="24"/>
      <c r="L18" s="23" t="s">
        <v>1008</v>
      </c>
      <c r="M18" s="24"/>
      <c r="N18" s="24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>
      <c r="A19" s="63" t="s">
        <v>1009</v>
      </c>
      <c r="B19" s="23" t="s">
        <v>1010</v>
      </c>
      <c r="C19" s="24"/>
      <c r="D19" s="23" t="s">
        <v>1011</v>
      </c>
      <c r="E19" s="23" t="s">
        <v>1012</v>
      </c>
      <c r="F19" s="23"/>
      <c r="G19" s="23"/>
      <c r="H19" s="23"/>
      <c r="I19" s="23"/>
      <c r="J19" s="23" t="s">
        <v>1013</v>
      </c>
      <c r="K19" s="23" t="s">
        <v>996</v>
      </c>
      <c r="L19" s="23" t="s">
        <v>1014</v>
      </c>
      <c r="M19" s="24"/>
      <c r="N19" s="24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>
      <c r="A20" s="63" t="s">
        <v>1015</v>
      </c>
      <c r="B20" s="23" t="s">
        <v>1016</v>
      </c>
      <c r="C20" s="24"/>
      <c r="D20" s="23" t="s">
        <v>472</v>
      </c>
      <c r="E20" s="23" t="s">
        <v>1017</v>
      </c>
      <c r="F20" s="23"/>
      <c r="G20" s="23"/>
      <c r="H20" s="23"/>
      <c r="I20" s="23"/>
      <c r="J20" s="24"/>
      <c r="K20" s="24"/>
      <c r="L20" s="23" t="s">
        <v>1018</v>
      </c>
      <c r="M20" s="24"/>
      <c r="N20" s="24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>
      <c r="A21" s="63" t="s">
        <v>1019</v>
      </c>
      <c r="B21" s="23" t="s">
        <v>1020</v>
      </c>
      <c r="C21" s="23" t="s">
        <v>15</v>
      </c>
      <c r="D21" s="23" t="s">
        <v>472</v>
      </c>
      <c r="E21" s="23" t="s">
        <v>1021</v>
      </c>
      <c r="F21" s="23"/>
      <c r="G21" s="23"/>
      <c r="H21" s="23"/>
      <c r="I21" s="23"/>
      <c r="J21" s="24"/>
      <c r="K21" s="23" t="s">
        <v>1022</v>
      </c>
      <c r="L21" s="23" t="s">
        <v>1023</v>
      </c>
      <c r="M21" s="24"/>
      <c r="N21" s="24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>
      <c r="A22" s="63" t="s">
        <v>1024</v>
      </c>
      <c r="B22" s="23" t="s">
        <v>1025</v>
      </c>
      <c r="C22" s="24"/>
      <c r="D22" s="23" t="s">
        <v>472</v>
      </c>
      <c r="E22" s="23" t="s">
        <v>1026</v>
      </c>
      <c r="F22" s="23"/>
      <c r="G22" s="23"/>
      <c r="H22" s="23"/>
      <c r="I22" s="23"/>
      <c r="J22" s="24"/>
      <c r="K22" s="24"/>
      <c r="L22" s="23" t="s">
        <v>1027</v>
      </c>
      <c r="M22" s="24"/>
      <c r="N22" s="24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>
      <c r="A23" s="63" t="s">
        <v>1028</v>
      </c>
      <c r="B23" s="23" t="s">
        <v>1029</v>
      </c>
      <c r="C23" s="23" t="s">
        <v>46</v>
      </c>
      <c r="D23" s="23" t="s">
        <v>472</v>
      </c>
      <c r="E23" s="23" t="s">
        <v>1030</v>
      </c>
      <c r="F23" s="23"/>
      <c r="G23" s="23"/>
      <c r="H23" s="23"/>
      <c r="I23" s="23"/>
      <c r="J23" s="24"/>
      <c r="K23" s="24"/>
      <c r="L23" s="23" t="s">
        <v>1031</v>
      </c>
      <c r="M23" s="24"/>
      <c r="N23" s="24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>
      <c r="A24" s="63" t="s">
        <v>1032</v>
      </c>
      <c r="B24" s="23" t="s">
        <v>1033</v>
      </c>
      <c r="C24" s="23" t="s">
        <v>46</v>
      </c>
      <c r="D24" s="23" t="s">
        <v>472</v>
      </c>
      <c r="E24" s="23" t="s">
        <v>1034</v>
      </c>
      <c r="F24" s="23"/>
      <c r="G24" s="23"/>
      <c r="H24" s="23"/>
      <c r="I24" s="23"/>
      <c r="J24" s="24"/>
      <c r="K24" s="24"/>
      <c r="L24" s="23" t="s">
        <v>1035</v>
      </c>
      <c r="M24" s="24"/>
      <c r="N24" s="24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>
      <c r="A25" s="63" t="s">
        <v>1036</v>
      </c>
      <c r="B25" s="23" t="s">
        <v>1037</v>
      </c>
      <c r="C25" s="23" t="s">
        <v>37</v>
      </c>
      <c r="D25" s="1" t="s">
        <v>1038</v>
      </c>
      <c r="E25" s="23" t="s">
        <v>1039</v>
      </c>
      <c r="F25" s="23"/>
      <c r="G25" s="23"/>
      <c r="H25" s="23"/>
      <c r="I25" s="23"/>
      <c r="J25" s="24"/>
      <c r="K25" s="23" t="s">
        <v>1040</v>
      </c>
      <c r="L25" s="23" t="s">
        <v>1041</v>
      </c>
      <c r="M25" s="24"/>
      <c r="N25" s="24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>
      <c r="A26" s="63" t="s">
        <v>1042</v>
      </c>
      <c r="B26" s="23" t="s">
        <v>1043</v>
      </c>
      <c r="C26" s="23" t="s">
        <v>15</v>
      </c>
      <c r="D26" s="23" t="s">
        <v>472</v>
      </c>
      <c r="E26" s="23" t="s">
        <v>1044</v>
      </c>
      <c r="F26" s="23"/>
      <c r="G26" s="23"/>
      <c r="H26" s="23"/>
      <c r="I26" s="23"/>
      <c r="J26" s="24"/>
      <c r="K26" s="24"/>
      <c r="L26" s="23" t="s">
        <v>1045</v>
      </c>
      <c r="M26" s="24"/>
      <c r="N26" s="24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>
      <c r="A27" s="63" t="s">
        <v>1046</v>
      </c>
      <c r="B27" s="23" t="s">
        <v>1047</v>
      </c>
      <c r="C27" s="23" t="s">
        <v>15</v>
      </c>
      <c r="D27" s="23" t="s">
        <v>935</v>
      </c>
      <c r="E27" s="23" t="s">
        <v>1048</v>
      </c>
      <c r="F27" s="23"/>
      <c r="G27" s="23"/>
      <c r="H27" s="23"/>
      <c r="I27" s="23"/>
      <c r="J27" s="24"/>
      <c r="K27" s="24"/>
      <c r="L27" s="23" t="s">
        <v>1049</v>
      </c>
      <c r="M27" s="24"/>
      <c r="N27" s="24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>
      <c r="A28" s="63" t="s">
        <v>524</v>
      </c>
      <c r="B28" s="23" t="s">
        <v>525</v>
      </c>
      <c r="C28" s="23" t="s">
        <v>46</v>
      </c>
      <c r="D28" s="23" t="s">
        <v>983</v>
      </c>
      <c r="E28" s="23" t="s">
        <v>1050</v>
      </c>
      <c r="F28" s="23"/>
      <c r="G28" s="23"/>
      <c r="H28" s="23"/>
      <c r="I28" s="23"/>
      <c r="J28" s="24"/>
      <c r="K28" s="23" t="s">
        <v>996</v>
      </c>
      <c r="L28" s="23" t="s">
        <v>1051</v>
      </c>
      <c r="M28" s="24"/>
      <c r="N28" s="24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>
      <c r="A29" s="66" t="s">
        <v>1052</v>
      </c>
      <c r="B29" s="67" t="s">
        <v>1053</v>
      </c>
      <c r="C29" s="67" t="s">
        <v>46</v>
      </c>
      <c r="D29" s="67" t="s">
        <v>1054</v>
      </c>
      <c r="E29" s="67" t="s">
        <v>1055</v>
      </c>
      <c r="F29" s="67"/>
      <c r="G29" s="67"/>
      <c r="H29" s="67"/>
      <c r="I29" s="67"/>
      <c r="J29" s="68"/>
      <c r="K29" s="68"/>
      <c r="L29" s="67" t="s">
        <v>1056</v>
      </c>
      <c r="M29" s="68"/>
      <c r="N29" s="68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</row>
    <row r="30">
      <c r="A30" s="63" t="s">
        <v>1057</v>
      </c>
      <c r="B30" s="23" t="s">
        <v>1058</v>
      </c>
      <c r="C30" s="24"/>
      <c r="D30" s="1" t="s">
        <v>1059</v>
      </c>
      <c r="E30" s="23" t="s">
        <v>1060</v>
      </c>
      <c r="F30" s="23"/>
      <c r="G30" s="23"/>
      <c r="H30" s="23"/>
      <c r="I30" s="23"/>
      <c r="J30" s="24"/>
      <c r="K30" s="24"/>
      <c r="L30" s="23" t="s">
        <v>1061</v>
      </c>
      <c r="M30" s="24"/>
      <c r="N30" s="24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>
      <c r="A31" s="63" t="s">
        <v>1062</v>
      </c>
      <c r="B31" s="23" t="s">
        <v>1063</v>
      </c>
      <c r="C31" s="24"/>
      <c r="D31" s="70" t="s">
        <v>1064</v>
      </c>
      <c r="E31" s="23" t="s">
        <v>1065</v>
      </c>
      <c r="F31" s="24"/>
      <c r="G31" s="24"/>
      <c r="H31" s="24"/>
      <c r="I31" s="24"/>
      <c r="J31" s="24"/>
      <c r="K31" s="23" t="s">
        <v>1066</v>
      </c>
      <c r="L31" s="23" t="s">
        <v>1067</v>
      </c>
      <c r="M31" s="24"/>
      <c r="N31" s="24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>
      <c r="A32" s="63" t="s">
        <v>1068</v>
      </c>
      <c r="B32" s="23" t="s">
        <v>1069</v>
      </c>
      <c r="C32" s="23" t="s">
        <v>46</v>
      </c>
      <c r="D32" s="23" t="s">
        <v>472</v>
      </c>
      <c r="E32" s="23" t="s">
        <v>1070</v>
      </c>
      <c r="F32" s="24"/>
      <c r="G32" s="24"/>
      <c r="H32" s="24"/>
      <c r="I32" s="24"/>
      <c r="J32" s="24"/>
      <c r="K32" s="24"/>
      <c r="L32" s="23" t="s">
        <v>1071</v>
      </c>
      <c r="M32" s="24"/>
      <c r="N32" s="24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>
      <c r="A33" s="63" t="s">
        <v>1072</v>
      </c>
      <c r="B33" s="23" t="s">
        <v>1073</v>
      </c>
      <c r="C33" s="23" t="s">
        <v>1074</v>
      </c>
      <c r="D33" s="23" t="s">
        <v>1075</v>
      </c>
      <c r="E33" s="23" t="s">
        <v>1076</v>
      </c>
      <c r="F33" s="24"/>
      <c r="G33" s="24"/>
      <c r="H33" s="24"/>
      <c r="I33" s="24"/>
      <c r="J33" s="23" t="s">
        <v>1077</v>
      </c>
      <c r="K33" s="23" t="s">
        <v>1078</v>
      </c>
      <c r="L33" s="23" t="s">
        <v>1079</v>
      </c>
      <c r="M33" s="24"/>
      <c r="N33" s="24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>
      <c r="A34" s="63" t="s">
        <v>1080</v>
      </c>
      <c r="B34" s="23" t="s">
        <v>1081</v>
      </c>
      <c r="C34" s="23" t="s">
        <v>46</v>
      </c>
      <c r="D34" s="23" t="s">
        <v>472</v>
      </c>
      <c r="E34" s="23" t="s">
        <v>1082</v>
      </c>
      <c r="F34" s="24"/>
      <c r="G34" s="24"/>
      <c r="H34" s="24"/>
      <c r="I34" s="24"/>
      <c r="J34" s="24"/>
      <c r="K34" s="24"/>
      <c r="L34" s="23" t="s">
        <v>1083</v>
      </c>
      <c r="M34" s="24"/>
      <c r="N34" s="24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>
      <c r="A35" s="63" t="s">
        <v>1084</v>
      </c>
      <c r="B35" s="23" t="s">
        <v>1085</v>
      </c>
      <c r="C35" s="23" t="s">
        <v>15</v>
      </c>
      <c r="D35" s="23" t="s">
        <v>935</v>
      </c>
      <c r="E35" s="23" t="s">
        <v>1086</v>
      </c>
      <c r="F35" s="24"/>
      <c r="G35" s="24"/>
      <c r="H35" s="24"/>
      <c r="I35" s="24"/>
      <c r="J35" s="24"/>
      <c r="K35" s="24"/>
      <c r="L35" s="23" t="s">
        <v>1087</v>
      </c>
      <c r="M35" s="24"/>
      <c r="N35" s="24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>
      <c r="A36" s="63" t="s">
        <v>1088</v>
      </c>
      <c r="B36" s="23" t="s">
        <v>1089</v>
      </c>
      <c r="C36" s="23" t="s">
        <v>46</v>
      </c>
      <c r="D36" s="23" t="s">
        <v>472</v>
      </c>
      <c r="E36" s="23" t="s">
        <v>1090</v>
      </c>
      <c r="F36" s="24"/>
      <c r="G36" s="24"/>
      <c r="H36" s="24"/>
      <c r="I36" s="24"/>
      <c r="J36" s="24"/>
      <c r="K36" s="24"/>
      <c r="L36" s="23" t="s">
        <v>1091</v>
      </c>
      <c r="M36" s="24"/>
      <c r="N36" s="24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>
      <c r="A37" s="63" t="s">
        <v>1092</v>
      </c>
      <c r="B37" s="23" t="s">
        <v>1093</v>
      </c>
      <c r="C37" s="23" t="s">
        <v>46</v>
      </c>
      <c r="D37" s="23" t="s">
        <v>983</v>
      </c>
      <c r="E37" s="23" t="s">
        <v>1094</v>
      </c>
      <c r="F37" s="24"/>
      <c r="G37" s="24"/>
      <c r="H37" s="24"/>
      <c r="I37" s="24"/>
      <c r="J37" s="24"/>
      <c r="K37" s="24"/>
      <c r="L37" s="23" t="s">
        <v>1095</v>
      </c>
      <c r="M37" s="24"/>
      <c r="N37" s="24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>
      <c r="A38" s="63" t="s">
        <v>1096</v>
      </c>
      <c r="B38" s="23" t="s">
        <v>1097</v>
      </c>
      <c r="C38" s="23" t="s">
        <v>300</v>
      </c>
      <c r="D38" s="23" t="s">
        <v>472</v>
      </c>
      <c r="E38" s="23" t="s">
        <v>1098</v>
      </c>
      <c r="F38" s="24"/>
      <c r="G38" s="24"/>
      <c r="H38" s="24"/>
      <c r="I38" s="24"/>
      <c r="J38" s="24"/>
      <c r="K38" s="24"/>
      <c r="L38" s="23" t="s">
        <v>1099</v>
      </c>
      <c r="M38" s="24"/>
      <c r="N38" s="24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>
      <c r="A39" s="71" t="s">
        <v>1100</v>
      </c>
      <c r="B39" s="23" t="s">
        <v>1101</v>
      </c>
      <c r="C39" s="23" t="s">
        <v>46</v>
      </c>
      <c r="D39" s="23" t="s">
        <v>1054</v>
      </c>
      <c r="E39" s="23" t="s">
        <v>1102</v>
      </c>
      <c r="F39" s="24"/>
      <c r="G39" s="24"/>
      <c r="H39" s="24"/>
      <c r="I39" s="24"/>
      <c r="J39" s="24"/>
      <c r="K39" s="24"/>
      <c r="L39" s="23" t="s">
        <v>1103</v>
      </c>
      <c r="M39" s="24"/>
      <c r="N39" s="24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>
      <c r="A40" s="63" t="s">
        <v>1104</v>
      </c>
      <c r="B40" s="23" t="s">
        <v>1105</v>
      </c>
      <c r="C40" s="23" t="s">
        <v>46</v>
      </c>
      <c r="D40" s="23" t="s">
        <v>472</v>
      </c>
      <c r="E40" s="23" t="s">
        <v>1106</v>
      </c>
      <c r="F40" s="24"/>
      <c r="G40" s="24"/>
      <c r="H40" s="24"/>
      <c r="I40" s="24"/>
      <c r="J40" s="24"/>
      <c r="K40" s="24"/>
      <c r="L40" s="23" t="s">
        <v>1107</v>
      </c>
      <c r="M40" s="24"/>
      <c r="N40" s="24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>
      <c r="A41" s="63" t="s">
        <v>1108</v>
      </c>
      <c r="B41" s="23" t="s">
        <v>546</v>
      </c>
      <c r="C41" s="23" t="s">
        <v>1016</v>
      </c>
      <c r="D41" s="23" t="s">
        <v>472</v>
      </c>
      <c r="E41" s="23" t="s">
        <v>1109</v>
      </c>
      <c r="F41" s="24"/>
      <c r="G41" s="24"/>
      <c r="H41" s="24"/>
      <c r="I41" s="24"/>
      <c r="J41" s="24"/>
      <c r="K41" s="24"/>
      <c r="L41" s="23" t="s">
        <v>1110</v>
      </c>
      <c r="M41" s="24"/>
      <c r="N41" s="24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>
      <c r="A42" s="63" t="s">
        <v>1111</v>
      </c>
      <c r="B42" s="23" t="s">
        <v>1112</v>
      </c>
      <c r="C42" s="23" t="s">
        <v>46</v>
      </c>
      <c r="D42" s="23" t="s">
        <v>472</v>
      </c>
      <c r="E42" s="23" t="s">
        <v>1113</v>
      </c>
      <c r="F42" s="24"/>
      <c r="G42" s="24"/>
      <c r="H42" s="24"/>
      <c r="I42" s="24"/>
      <c r="J42" s="24"/>
      <c r="K42" s="24"/>
      <c r="L42" s="23" t="s">
        <v>1114</v>
      </c>
      <c r="M42" s="24"/>
      <c r="N42" s="24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>
      <c r="A43" s="63" t="s">
        <v>1115</v>
      </c>
      <c r="B43" s="23" t="s">
        <v>1116</v>
      </c>
      <c r="C43" s="24"/>
      <c r="D43" s="23" t="s">
        <v>472</v>
      </c>
      <c r="E43" s="23" t="s">
        <v>1117</v>
      </c>
      <c r="F43" s="24"/>
      <c r="G43" s="24"/>
      <c r="H43" s="24"/>
      <c r="I43" s="24"/>
      <c r="J43" s="24"/>
      <c r="K43" s="24"/>
      <c r="L43" s="23" t="s">
        <v>1118</v>
      </c>
      <c r="M43" s="24"/>
      <c r="N43" s="24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>
      <c r="A44" s="63" t="s">
        <v>1119</v>
      </c>
      <c r="B44" s="23" t="s">
        <v>1120</v>
      </c>
      <c r="C44" s="24"/>
      <c r="D44" s="23" t="s">
        <v>472</v>
      </c>
      <c r="E44" s="23" t="s">
        <v>1121</v>
      </c>
      <c r="F44" s="24"/>
      <c r="G44" s="24"/>
      <c r="H44" s="24"/>
      <c r="I44" s="24"/>
      <c r="J44" s="23" t="s">
        <v>1122</v>
      </c>
      <c r="K44" s="23" t="s">
        <v>1123</v>
      </c>
      <c r="L44" s="23" t="s">
        <v>1124</v>
      </c>
      <c r="M44" s="24"/>
      <c r="N44" s="24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>
      <c r="A45" s="63" t="s">
        <v>1125</v>
      </c>
      <c r="B45" s="23" t="s">
        <v>1126</v>
      </c>
      <c r="C45" s="23" t="s">
        <v>300</v>
      </c>
      <c r="D45" s="23" t="s">
        <v>472</v>
      </c>
      <c r="E45" s="23" t="s">
        <v>1127</v>
      </c>
      <c r="F45" s="24"/>
      <c r="G45" s="24"/>
      <c r="H45" s="24"/>
      <c r="I45" s="24"/>
      <c r="J45" s="24"/>
      <c r="K45" s="24"/>
      <c r="L45" s="23" t="s">
        <v>1128</v>
      </c>
      <c r="M45" s="24"/>
      <c r="N45" s="24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>
      <c r="A46" s="63" t="s">
        <v>1129</v>
      </c>
      <c r="B46" s="23" t="s">
        <v>1130</v>
      </c>
      <c r="C46" s="23" t="s">
        <v>15</v>
      </c>
      <c r="D46" s="23" t="s">
        <v>472</v>
      </c>
      <c r="E46" s="23" t="s">
        <v>1131</v>
      </c>
      <c r="F46" s="24"/>
      <c r="G46" s="24"/>
      <c r="H46" s="24"/>
      <c r="I46" s="24"/>
      <c r="J46" s="24"/>
      <c r="K46" s="23" t="s">
        <v>1132</v>
      </c>
      <c r="L46" s="23" t="s">
        <v>1133</v>
      </c>
      <c r="M46" s="24"/>
      <c r="N46" s="24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>
      <c r="A47" s="63" t="s">
        <v>1134</v>
      </c>
      <c r="B47" s="23" t="s">
        <v>1135</v>
      </c>
      <c r="C47" s="23" t="s">
        <v>37</v>
      </c>
      <c r="D47" s="23" t="s">
        <v>935</v>
      </c>
      <c r="E47" s="23" t="s">
        <v>1136</v>
      </c>
      <c r="F47" s="24"/>
      <c r="G47" s="24"/>
      <c r="H47" s="24"/>
      <c r="I47" s="24"/>
      <c r="J47" s="24"/>
      <c r="K47" s="24"/>
      <c r="L47" s="23" t="s">
        <v>1137</v>
      </c>
      <c r="M47" s="24"/>
      <c r="N47" s="24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>
      <c r="A48" s="63" t="s">
        <v>1138</v>
      </c>
      <c r="B48" s="23" t="s">
        <v>1139</v>
      </c>
      <c r="C48" s="23" t="s">
        <v>37</v>
      </c>
      <c r="D48" s="23" t="s">
        <v>472</v>
      </c>
      <c r="E48" s="23" t="s">
        <v>1140</v>
      </c>
      <c r="F48" s="24"/>
      <c r="G48" s="24"/>
      <c r="H48" s="24"/>
      <c r="I48" s="24"/>
      <c r="J48" s="24"/>
      <c r="K48" s="24"/>
      <c r="L48" s="23" t="s">
        <v>1141</v>
      </c>
      <c r="M48" s="24"/>
      <c r="N48" s="24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>
      <c r="A49" s="63" t="s">
        <v>1142</v>
      </c>
      <c r="B49" s="23" t="s">
        <v>1143</v>
      </c>
      <c r="C49" s="23" t="s">
        <v>15</v>
      </c>
      <c r="D49" s="23" t="s">
        <v>472</v>
      </c>
      <c r="E49" s="23" t="s">
        <v>1144</v>
      </c>
      <c r="F49" s="24"/>
      <c r="G49" s="24"/>
      <c r="H49" s="24"/>
      <c r="I49" s="24"/>
      <c r="J49" s="24"/>
      <c r="K49" s="24"/>
      <c r="L49" s="23" t="s">
        <v>1145</v>
      </c>
      <c r="M49" s="24"/>
      <c r="N49" s="24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>
      <c r="A50" s="63" t="s">
        <v>1146</v>
      </c>
      <c r="B50" s="23" t="s">
        <v>1147</v>
      </c>
      <c r="C50" s="23" t="s">
        <v>37</v>
      </c>
      <c r="D50" s="23" t="s">
        <v>472</v>
      </c>
      <c r="E50" s="23" t="s">
        <v>1148</v>
      </c>
      <c r="F50" s="24"/>
      <c r="G50" s="24"/>
      <c r="H50" s="24"/>
      <c r="I50" s="24"/>
      <c r="J50" s="24"/>
      <c r="K50" s="24"/>
      <c r="L50" s="23" t="s">
        <v>1149</v>
      </c>
      <c r="M50" s="24"/>
      <c r="N50" s="24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>
      <c r="A51" s="63" t="s">
        <v>1150</v>
      </c>
      <c r="B51" s="23" t="s">
        <v>1151</v>
      </c>
      <c r="C51" s="23" t="s">
        <v>46</v>
      </c>
      <c r="D51" s="23" t="s">
        <v>472</v>
      </c>
      <c r="E51" s="23" t="s">
        <v>1152</v>
      </c>
      <c r="F51" s="24"/>
      <c r="G51" s="24"/>
      <c r="H51" s="24"/>
      <c r="I51" s="24"/>
      <c r="J51" s="24"/>
      <c r="K51" s="24"/>
      <c r="L51" s="23" t="s">
        <v>1153</v>
      </c>
      <c r="M51" s="24"/>
      <c r="N51" s="24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>
      <c r="A52" s="63" t="s">
        <v>1154</v>
      </c>
      <c r="B52" s="23" t="s">
        <v>1155</v>
      </c>
      <c r="C52" s="23" t="s">
        <v>37</v>
      </c>
      <c r="D52" s="23" t="s">
        <v>1054</v>
      </c>
      <c r="E52" s="23" t="s">
        <v>1156</v>
      </c>
      <c r="F52" s="24"/>
      <c r="G52" s="24"/>
      <c r="H52" s="24"/>
      <c r="I52" s="24"/>
      <c r="J52" s="24"/>
      <c r="K52" s="24"/>
      <c r="L52" s="23" t="s">
        <v>1157</v>
      </c>
      <c r="M52" s="24"/>
      <c r="N52" s="24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>
      <c r="A53" s="63" t="s">
        <v>901</v>
      </c>
      <c r="B53" s="23" t="s">
        <v>1158</v>
      </c>
      <c r="C53" s="23" t="s">
        <v>46</v>
      </c>
      <c r="D53" s="23" t="s">
        <v>935</v>
      </c>
      <c r="E53" s="23" t="s">
        <v>1159</v>
      </c>
      <c r="F53" s="24"/>
      <c r="G53" s="24"/>
      <c r="H53" s="24"/>
      <c r="I53" s="24"/>
      <c r="J53" s="24"/>
      <c r="K53" s="24"/>
      <c r="L53" s="23" t="s">
        <v>1160</v>
      </c>
      <c r="M53" s="24"/>
      <c r="N53" s="24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>
      <c r="A54" s="63" t="s">
        <v>212</v>
      </c>
      <c r="B54" s="23" t="s">
        <v>1161</v>
      </c>
      <c r="C54" s="23" t="s">
        <v>15</v>
      </c>
      <c r="D54" s="23" t="s">
        <v>472</v>
      </c>
      <c r="E54" s="23" t="s">
        <v>1162</v>
      </c>
      <c r="F54" s="24"/>
      <c r="G54" s="24"/>
      <c r="H54" s="24"/>
      <c r="I54" s="24"/>
      <c r="J54" s="24"/>
      <c r="K54" s="24"/>
      <c r="L54" s="23" t="s">
        <v>217</v>
      </c>
      <c r="M54" s="24"/>
      <c r="N54" s="24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>
      <c r="A55" s="63" t="s">
        <v>1163</v>
      </c>
      <c r="B55" s="23" t="s">
        <v>1164</v>
      </c>
      <c r="C55" s="24"/>
      <c r="D55" s="23" t="s">
        <v>472</v>
      </c>
      <c r="E55" s="23" t="s">
        <v>1165</v>
      </c>
      <c r="F55" s="24"/>
      <c r="G55" s="24"/>
      <c r="H55" s="24"/>
      <c r="I55" s="24"/>
      <c r="J55" s="24"/>
      <c r="K55" s="24"/>
      <c r="L55" s="23" t="s">
        <v>1166</v>
      </c>
      <c r="M55" s="24"/>
      <c r="N55" s="24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>
      <c r="A56" s="63" t="s">
        <v>1167</v>
      </c>
      <c r="B56" s="23" t="s">
        <v>1168</v>
      </c>
      <c r="C56" s="23" t="s">
        <v>15</v>
      </c>
      <c r="D56" s="1" t="s">
        <v>1169</v>
      </c>
      <c r="E56" s="23" t="s">
        <v>1170</v>
      </c>
      <c r="F56" s="24"/>
      <c r="G56" s="24"/>
      <c r="H56" s="24"/>
      <c r="I56" s="24"/>
      <c r="J56" s="24"/>
      <c r="K56" s="24"/>
      <c r="L56" s="23" t="s">
        <v>1171</v>
      </c>
      <c r="M56" s="24"/>
      <c r="N56" s="24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>
      <c r="A57" s="63" t="s">
        <v>942</v>
      </c>
      <c r="B57" s="23" t="s">
        <v>1172</v>
      </c>
      <c r="C57" s="24"/>
      <c r="D57" s="23" t="s">
        <v>1173</v>
      </c>
      <c r="E57" s="23" t="s">
        <v>946</v>
      </c>
      <c r="F57" s="24"/>
      <c r="G57" s="24"/>
      <c r="H57" s="24"/>
      <c r="I57" s="24"/>
      <c r="J57" s="24"/>
      <c r="K57" s="24"/>
      <c r="L57" s="23" t="s">
        <v>1174</v>
      </c>
      <c r="M57" s="24"/>
      <c r="N57" s="24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>
      <c r="A58" s="66" t="s">
        <v>1175</v>
      </c>
      <c r="B58" s="67" t="s">
        <v>1176</v>
      </c>
      <c r="C58" s="68"/>
      <c r="D58" s="67" t="s">
        <v>472</v>
      </c>
      <c r="E58" s="67" t="s">
        <v>1177</v>
      </c>
      <c r="F58" s="68"/>
      <c r="G58" s="68"/>
      <c r="H58" s="68"/>
      <c r="I58" s="68"/>
      <c r="J58" s="67" t="s">
        <v>1178</v>
      </c>
      <c r="K58" s="67" t="s">
        <v>1179</v>
      </c>
      <c r="L58" s="67" t="s">
        <v>1180</v>
      </c>
      <c r="M58" s="68"/>
      <c r="N58" s="68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ht="15.0" customHeight="1">
      <c r="A59" s="63" t="s">
        <v>1181</v>
      </c>
      <c r="B59" s="23" t="s">
        <v>1182</v>
      </c>
      <c r="C59" s="23" t="s">
        <v>15</v>
      </c>
      <c r="D59" s="23" t="s">
        <v>983</v>
      </c>
      <c r="E59" s="23" t="s">
        <v>1183</v>
      </c>
      <c r="F59" s="23" t="s">
        <v>1184</v>
      </c>
      <c r="G59" s="23">
        <v>4212.0</v>
      </c>
      <c r="H59" s="23" t="s">
        <v>33</v>
      </c>
      <c r="I59" s="23" t="s">
        <v>1185</v>
      </c>
      <c r="J59" s="24"/>
      <c r="K59" s="24"/>
      <c r="L59" s="23"/>
      <c r="M59" s="24"/>
      <c r="N59" s="24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>
      <c r="A60" s="63" t="s">
        <v>1186</v>
      </c>
      <c r="B60" s="72" t="s">
        <v>1187</v>
      </c>
      <c r="C60" s="73"/>
      <c r="D60" s="72" t="s">
        <v>1188</v>
      </c>
      <c r="E60" s="72" t="s">
        <v>1189</v>
      </c>
      <c r="F60" s="72" t="s">
        <v>1190</v>
      </c>
      <c r="G60" s="72">
        <v>3559.0</v>
      </c>
      <c r="H60" s="72" t="s">
        <v>33</v>
      </c>
      <c r="I60" s="72" t="s">
        <v>1185</v>
      </c>
      <c r="J60" s="72" t="s">
        <v>1191</v>
      </c>
      <c r="K60" s="72" t="s">
        <v>1192</v>
      </c>
      <c r="L60" s="73"/>
      <c r="M60" s="73"/>
      <c r="N60" s="73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</row>
    <row r="61">
      <c r="A61" s="66" t="s">
        <v>1193</v>
      </c>
      <c r="B61" s="75" t="s">
        <v>1194</v>
      </c>
      <c r="C61" s="76"/>
      <c r="D61" s="75" t="s">
        <v>1195</v>
      </c>
      <c r="E61" s="75" t="s">
        <v>1196</v>
      </c>
      <c r="F61" s="75" t="s">
        <v>1197</v>
      </c>
      <c r="G61" s="75">
        <v>5061.0</v>
      </c>
      <c r="H61" s="75" t="s">
        <v>104</v>
      </c>
      <c r="I61" s="75" t="s">
        <v>1185</v>
      </c>
      <c r="J61" s="75" t="s">
        <v>1198</v>
      </c>
      <c r="K61" s="75" t="s">
        <v>1199</v>
      </c>
      <c r="L61" s="75" t="s">
        <v>1200</v>
      </c>
      <c r="M61" s="76"/>
      <c r="N61" s="76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</row>
    <row r="62" ht="15.0" customHeight="1">
      <c r="A62" s="63" t="s">
        <v>1201</v>
      </c>
      <c r="B62" s="23" t="s">
        <v>1202</v>
      </c>
      <c r="C62" s="23" t="s">
        <v>15</v>
      </c>
      <c r="D62" s="1" t="s">
        <v>945</v>
      </c>
      <c r="E62" s="23" t="s">
        <v>1203</v>
      </c>
      <c r="F62" s="23" t="s">
        <v>1204</v>
      </c>
      <c r="G62" s="23">
        <v>4216.0</v>
      </c>
      <c r="H62" s="23" t="s">
        <v>33</v>
      </c>
      <c r="I62" s="23" t="s">
        <v>1185</v>
      </c>
      <c r="J62" s="24"/>
      <c r="K62" s="23" t="s">
        <v>1205</v>
      </c>
      <c r="L62" s="23" t="s">
        <v>1206</v>
      </c>
      <c r="M62" s="24"/>
      <c r="N62" s="24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>
      <c r="A63" s="78" t="s">
        <v>1207</v>
      </c>
      <c r="B63" s="79" t="s">
        <v>1208</v>
      </c>
      <c r="C63" s="80"/>
      <c r="D63" s="81" t="s">
        <v>1000</v>
      </c>
      <c r="E63" s="79" t="s">
        <v>1209</v>
      </c>
      <c r="F63" s="79" t="s">
        <v>1210</v>
      </c>
      <c r="G63" s="79">
        <v>4566.0</v>
      </c>
      <c r="H63" s="79" t="s">
        <v>33</v>
      </c>
      <c r="I63" s="79" t="s">
        <v>1185</v>
      </c>
      <c r="J63" s="80"/>
      <c r="K63" s="80"/>
      <c r="L63" s="79" t="s">
        <v>1211</v>
      </c>
      <c r="M63" s="80"/>
      <c r="N63" s="80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</row>
    <row r="64">
      <c r="A64" s="63" t="s">
        <v>1212</v>
      </c>
      <c r="B64" s="23" t="s">
        <v>1213</v>
      </c>
      <c r="C64" s="24"/>
      <c r="D64" s="1" t="s">
        <v>1214</v>
      </c>
      <c r="E64" s="23" t="s">
        <v>1215</v>
      </c>
      <c r="F64" s="23" t="s">
        <v>1216</v>
      </c>
      <c r="G64" s="23">
        <v>4566.0</v>
      </c>
      <c r="H64" s="23" t="s">
        <v>1217</v>
      </c>
      <c r="I64" s="23" t="s">
        <v>1185</v>
      </c>
      <c r="J64" s="24"/>
      <c r="K64" s="24"/>
      <c r="L64" s="23" t="s">
        <v>1218</v>
      </c>
      <c r="M64" s="24"/>
      <c r="N64" s="24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>
      <c r="A65" s="63" t="s">
        <v>1219</v>
      </c>
      <c r="B65" s="23" t="s">
        <v>1220</v>
      </c>
      <c r="C65" s="24"/>
      <c r="D65" s="1" t="s">
        <v>1221</v>
      </c>
      <c r="E65" s="23" t="s">
        <v>1222</v>
      </c>
      <c r="F65" s="23" t="s">
        <v>647</v>
      </c>
      <c r="G65" s="23">
        <v>3040.0</v>
      </c>
      <c r="H65" s="23" t="s">
        <v>19</v>
      </c>
      <c r="I65" s="23" t="s">
        <v>1185</v>
      </c>
      <c r="J65" s="24"/>
      <c r="K65" s="24"/>
      <c r="L65" s="24"/>
      <c r="M65" s="24"/>
      <c r="N65" s="24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>
      <c r="A66" s="66" t="s">
        <v>1223</v>
      </c>
      <c r="B66" s="67" t="s">
        <v>1224</v>
      </c>
      <c r="C66" s="68"/>
      <c r="D66" s="83" t="s">
        <v>1225</v>
      </c>
      <c r="E66" s="67" t="s">
        <v>1226</v>
      </c>
      <c r="F66" s="67" t="s">
        <v>1227</v>
      </c>
      <c r="G66" s="67">
        <v>4518.0</v>
      </c>
      <c r="H66" s="67" t="s">
        <v>33</v>
      </c>
      <c r="I66" s="67" t="s">
        <v>1185</v>
      </c>
      <c r="J66" s="68"/>
      <c r="K66" s="68"/>
      <c r="L66" s="68"/>
      <c r="M66" s="68"/>
      <c r="N66" s="68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>
      <c r="A67" s="84" t="s">
        <v>1228</v>
      </c>
      <c r="B67" s="85" t="s">
        <v>1229</v>
      </c>
      <c r="C67" s="23" t="s">
        <v>15</v>
      </c>
      <c r="D67" s="85" t="s">
        <v>1230</v>
      </c>
      <c r="E67" s="85" t="s">
        <v>1231</v>
      </c>
      <c r="F67" s="85" t="s">
        <v>1232</v>
      </c>
      <c r="G67" s="85">
        <v>2190.0</v>
      </c>
      <c r="H67" s="85" t="s">
        <v>50</v>
      </c>
      <c r="I67" s="85" t="s">
        <v>1185</v>
      </c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</row>
    <row r="68">
      <c r="A68" s="63" t="s">
        <v>1233</v>
      </c>
      <c r="B68" s="23" t="s">
        <v>1234</v>
      </c>
      <c r="C68" s="23" t="s">
        <v>15</v>
      </c>
      <c r="D68" s="12" t="s">
        <v>472</v>
      </c>
      <c r="E68" s="23" t="s">
        <v>1235</v>
      </c>
      <c r="F68" s="23" t="s">
        <v>1236</v>
      </c>
      <c r="G68" s="23">
        <v>6112.0</v>
      </c>
      <c r="H68" s="23" t="s">
        <v>41</v>
      </c>
      <c r="I68" s="23" t="s">
        <v>1185</v>
      </c>
      <c r="J68" s="24"/>
      <c r="K68" s="24"/>
      <c r="L68" s="24"/>
      <c r="M68" s="24"/>
      <c r="N68" s="24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>
      <c r="A69" s="63" t="s">
        <v>1237</v>
      </c>
      <c r="B69" s="23" t="s">
        <v>1238</v>
      </c>
      <c r="C69" s="23" t="s">
        <v>15</v>
      </c>
      <c r="D69" s="23" t="s">
        <v>935</v>
      </c>
      <c r="E69" s="23" t="s">
        <v>1239</v>
      </c>
      <c r="F69" s="23" t="s">
        <v>1240</v>
      </c>
      <c r="G69" s="23">
        <v>2032.0</v>
      </c>
      <c r="H69" s="23" t="s">
        <v>50</v>
      </c>
      <c r="I69" s="23" t="s">
        <v>1185</v>
      </c>
      <c r="J69" s="24"/>
      <c r="K69" s="24"/>
      <c r="L69" s="24"/>
      <c r="M69" s="24"/>
      <c r="N69" s="24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>
      <c r="A70" s="63" t="s">
        <v>1241</v>
      </c>
      <c r="B70" s="23" t="s">
        <v>1242</v>
      </c>
      <c r="C70" s="23" t="s">
        <v>37</v>
      </c>
      <c r="D70" s="23" t="s">
        <v>472</v>
      </c>
      <c r="E70" s="23" t="s">
        <v>1243</v>
      </c>
      <c r="F70" s="23" t="s">
        <v>1244</v>
      </c>
      <c r="G70" s="23">
        <v>2146.0</v>
      </c>
      <c r="H70" s="23" t="s">
        <v>50</v>
      </c>
      <c r="I70" s="23" t="s">
        <v>1185</v>
      </c>
      <c r="J70" s="24"/>
      <c r="K70" s="23" t="s">
        <v>1245</v>
      </c>
      <c r="L70" s="24"/>
      <c r="M70" s="24"/>
      <c r="N70" s="24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>
      <c r="A71" s="63" t="s">
        <v>1246</v>
      </c>
      <c r="B71" s="23" t="s">
        <v>1247</v>
      </c>
      <c r="C71" s="23" t="s">
        <v>300</v>
      </c>
      <c r="D71" s="23" t="s">
        <v>472</v>
      </c>
      <c r="E71" s="23" t="s">
        <v>1248</v>
      </c>
      <c r="F71" s="23" t="s">
        <v>521</v>
      </c>
      <c r="G71" s="23">
        <v>2026.0</v>
      </c>
      <c r="H71" s="23" t="s">
        <v>50</v>
      </c>
      <c r="I71" s="23" t="s">
        <v>1185</v>
      </c>
      <c r="J71" s="24"/>
      <c r="K71" s="23" t="s">
        <v>1249</v>
      </c>
      <c r="L71" s="24"/>
      <c r="M71" s="24"/>
      <c r="N71" s="24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>
      <c r="A72" s="84" t="s">
        <v>1250</v>
      </c>
      <c r="B72" s="12" t="s">
        <v>1251</v>
      </c>
      <c r="C72" s="12" t="s">
        <v>46</v>
      </c>
      <c r="D72" s="23" t="s">
        <v>935</v>
      </c>
      <c r="E72" s="12" t="s">
        <v>1252</v>
      </c>
      <c r="F72" s="12" t="s">
        <v>1253</v>
      </c>
      <c r="G72" s="12">
        <v>2096.0</v>
      </c>
      <c r="H72" s="12" t="s">
        <v>50</v>
      </c>
      <c r="I72" s="23" t="s">
        <v>1185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>
      <c r="A73" s="84" t="s">
        <v>1254</v>
      </c>
      <c r="B73" s="12" t="s">
        <v>1255</v>
      </c>
      <c r="C73" s="12" t="s">
        <v>15</v>
      </c>
      <c r="D73" s="23" t="s">
        <v>935</v>
      </c>
      <c r="E73" s="12" t="s">
        <v>1256</v>
      </c>
      <c r="F73" s="12" t="s">
        <v>1257</v>
      </c>
      <c r="G73" s="12">
        <v>4017.0</v>
      </c>
      <c r="H73" s="12" t="s">
        <v>33</v>
      </c>
      <c r="I73" s="23" t="s">
        <v>1185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>
      <c r="A74" s="84" t="s">
        <v>1258</v>
      </c>
      <c r="B74" s="12" t="s">
        <v>1259</v>
      </c>
      <c r="C74" s="20"/>
      <c r="D74" s="70" t="s">
        <v>1260</v>
      </c>
      <c r="E74" s="12" t="s">
        <v>1261</v>
      </c>
      <c r="F74" s="12" t="s">
        <v>1262</v>
      </c>
      <c r="G74" s="12">
        <v>5049.0</v>
      </c>
      <c r="H74" s="12" t="s">
        <v>104</v>
      </c>
      <c r="I74" s="12" t="s">
        <v>1185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>
      <c r="A75" s="63" t="s">
        <v>1263</v>
      </c>
      <c r="B75" s="72" t="s">
        <v>1264</v>
      </c>
      <c r="C75" s="72" t="s">
        <v>15</v>
      </c>
      <c r="D75" s="1" t="s">
        <v>1265</v>
      </c>
      <c r="E75" s="72" t="s">
        <v>1266</v>
      </c>
      <c r="F75" s="72" t="s">
        <v>1267</v>
      </c>
      <c r="G75" s="72">
        <v>7009.0</v>
      </c>
      <c r="H75" s="72" t="s">
        <v>1217</v>
      </c>
      <c r="I75" s="72" t="s">
        <v>1185</v>
      </c>
      <c r="J75" s="73"/>
      <c r="K75" s="72" t="s">
        <v>1268</v>
      </c>
      <c r="L75" s="73"/>
      <c r="M75" s="73"/>
      <c r="N75" s="73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</row>
    <row r="76">
      <c r="A76" s="84" t="s">
        <v>890</v>
      </c>
      <c r="B76" s="12" t="s">
        <v>891</v>
      </c>
      <c r="C76" s="12" t="s">
        <v>46</v>
      </c>
      <c r="D76" s="12" t="s">
        <v>472</v>
      </c>
      <c r="E76" s="12" t="s">
        <v>1269</v>
      </c>
      <c r="F76" s="12" t="s">
        <v>1270</v>
      </c>
      <c r="G76" s="12">
        <v>4660.0</v>
      </c>
      <c r="H76" s="12" t="s">
        <v>33</v>
      </c>
      <c r="I76" s="12" t="s">
        <v>1185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>
      <c r="A77" s="84" t="s">
        <v>1271</v>
      </c>
      <c r="B77" s="12" t="s">
        <v>1272</v>
      </c>
      <c r="C77" s="12" t="s">
        <v>46</v>
      </c>
      <c r="D77" s="12" t="s">
        <v>472</v>
      </c>
      <c r="E77" s="12" t="s">
        <v>1273</v>
      </c>
      <c r="F77" s="12" t="s">
        <v>1274</v>
      </c>
      <c r="G77" s="12">
        <v>2260.0</v>
      </c>
      <c r="H77" s="12" t="s">
        <v>50</v>
      </c>
      <c r="I77" s="12" t="s">
        <v>1185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>
      <c r="A78" s="84" t="s">
        <v>1275</v>
      </c>
      <c r="B78" s="12" t="s">
        <v>1276</v>
      </c>
      <c r="C78" s="20"/>
      <c r="D78" s="12" t="s">
        <v>472</v>
      </c>
      <c r="E78" s="12" t="s">
        <v>1277</v>
      </c>
      <c r="F78" s="12" t="s">
        <v>1278</v>
      </c>
      <c r="G78" s="12">
        <v>3163.0</v>
      </c>
      <c r="H78" s="12" t="s">
        <v>19</v>
      </c>
      <c r="I78" s="12" t="s">
        <v>1185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>
      <c r="A79" s="84" t="s">
        <v>1279</v>
      </c>
      <c r="B79" s="12" t="s">
        <v>1280</v>
      </c>
      <c r="C79" s="12" t="s">
        <v>46</v>
      </c>
      <c r="D79" s="12" t="s">
        <v>472</v>
      </c>
      <c r="E79" s="12" t="s">
        <v>1281</v>
      </c>
      <c r="F79" s="12" t="s">
        <v>1282</v>
      </c>
      <c r="G79" s="12">
        <v>6020.0</v>
      </c>
      <c r="H79" s="12" t="s">
        <v>41</v>
      </c>
      <c r="I79" s="12" t="s">
        <v>1185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>
      <c r="A80" s="84" t="s">
        <v>1283</v>
      </c>
      <c r="B80" s="12" t="s">
        <v>1284</v>
      </c>
      <c r="C80" s="12" t="s">
        <v>46</v>
      </c>
      <c r="D80" s="23" t="s">
        <v>935</v>
      </c>
      <c r="E80" s="12" t="s">
        <v>1285</v>
      </c>
      <c r="F80" s="12" t="s">
        <v>1286</v>
      </c>
      <c r="G80" s="12">
        <v>4012.0</v>
      </c>
      <c r="H80" s="12" t="s">
        <v>33</v>
      </c>
      <c r="I80" s="12" t="s">
        <v>1185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>
      <c r="A81" s="84" t="s">
        <v>1287</v>
      </c>
      <c r="B81" s="12" t="s">
        <v>1288</v>
      </c>
      <c r="C81" s="12" t="s">
        <v>46</v>
      </c>
      <c r="D81" s="12" t="s">
        <v>983</v>
      </c>
      <c r="E81" s="12" t="s">
        <v>1289</v>
      </c>
      <c r="F81" s="12" t="s">
        <v>1290</v>
      </c>
      <c r="G81" s="12">
        <v>2087.0</v>
      </c>
      <c r="H81" s="12" t="s">
        <v>50</v>
      </c>
      <c r="I81" s="12" t="s">
        <v>1185</v>
      </c>
      <c r="J81" s="20"/>
      <c r="K81" s="12" t="s">
        <v>1291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>
      <c r="A82" s="86" t="s">
        <v>1292</v>
      </c>
      <c r="B82" s="87" t="s">
        <v>1293</v>
      </c>
      <c r="C82" s="87" t="s">
        <v>46</v>
      </c>
      <c r="D82" s="87" t="s">
        <v>472</v>
      </c>
      <c r="E82" s="87" t="s">
        <v>1294</v>
      </c>
      <c r="F82" s="87" t="s">
        <v>1295</v>
      </c>
      <c r="G82" s="87">
        <v>3084.0</v>
      </c>
      <c r="H82" s="87" t="s">
        <v>19</v>
      </c>
      <c r="I82" s="87" t="s">
        <v>1185</v>
      </c>
      <c r="J82" s="82"/>
      <c r="K82" s="88" t="s">
        <v>1296</v>
      </c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</row>
    <row r="83">
      <c r="A83" s="84" t="s">
        <v>1297</v>
      </c>
      <c r="B83" s="12" t="s">
        <v>1298</v>
      </c>
      <c r="C83" s="12" t="s">
        <v>15</v>
      </c>
      <c r="D83" s="12" t="s">
        <v>1173</v>
      </c>
      <c r="E83" s="12" t="s">
        <v>1299</v>
      </c>
      <c r="F83" s="12" t="s">
        <v>1300</v>
      </c>
      <c r="G83" s="12">
        <v>3064.0</v>
      </c>
      <c r="H83" s="12" t="s">
        <v>19</v>
      </c>
      <c r="I83" s="12" t="s">
        <v>1185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>
      <c r="A84" s="89" t="s">
        <v>1301</v>
      </c>
      <c r="B84" s="10" t="s">
        <v>1302</v>
      </c>
      <c r="C84" s="10" t="s">
        <v>15</v>
      </c>
      <c r="D84" s="90" t="s">
        <v>1059</v>
      </c>
      <c r="E84" s="10" t="s">
        <v>1303</v>
      </c>
      <c r="F84" s="10" t="s">
        <v>97</v>
      </c>
      <c r="G84" s="10">
        <v>5022.0</v>
      </c>
      <c r="H84" s="10" t="s">
        <v>104</v>
      </c>
      <c r="I84" s="12" t="s">
        <v>1185</v>
      </c>
      <c r="J84" s="11"/>
      <c r="K84" s="10" t="s">
        <v>1304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89" t="s">
        <v>1305</v>
      </c>
      <c r="B85" s="10" t="s">
        <v>1306</v>
      </c>
      <c r="C85" s="11"/>
      <c r="D85" s="10" t="s">
        <v>1307</v>
      </c>
      <c r="E85" s="10" t="s">
        <v>1308</v>
      </c>
      <c r="F85" s="10" t="s">
        <v>1309</v>
      </c>
      <c r="G85" s="10">
        <v>2530.0</v>
      </c>
      <c r="H85" s="10" t="s">
        <v>50</v>
      </c>
      <c r="I85" s="12" t="s">
        <v>1185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89" t="s">
        <v>1310</v>
      </c>
      <c r="B86" s="10" t="s">
        <v>1311</v>
      </c>
      <c r="C86" s="10" t="s">
        <v>15</v>
      </c>
      <c r="D86" s="10" t="s">
        <v>472</v>
      </c>
      <c r="E86" s="10" t="s">
        <v>1312</v>
      </c>
      <c r="F86" s="10" t="s">
        <v>1313</v>
      </c>
      <c r="G86" s="10">
        <v>2043.0</v>
      </c>
      <c r="H86" s="10" t="s">
        <v>19</v>
      </c>
      <c r="I86" s="12" t="s">
        <v>1185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89" t="s">
        <v>1314</v>
      </c>
      <c r="B87" s="10" t="s">
        <v>1315</v>
      </c>
      <c r="C87" s="11"/>
      <c r="D87" s="10" t="s">
        <v>1307</v>
      </c>
      <c r="E87" s="10" t="s">
        <v>1316</v>
      </c>
      <c r="F87" s="10" t="s">
        <v>1317</v>
      </c>
      <c r="G87" s="10">
        <v>2230.0</v>
      </c>
      <c r="H87" s="10" t="s">
        <v>50</v>
      </c>
      <c r="I87" s="12" t="s">
        <v>1185</v>
      </c>
      <c r="J87" s="11"/>
      <c r="K87" s="10" t="s">
        <v>1318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89" t="s">
        <v>1319</v>
      </c>
      <c r="B88" s="10" t="s">
        <v>1320</v>
      </c>
      <c r="C88" s="10" t="s">
        <v>15</v>
      </c>
      <c r="D88" s="10" t="s">
        <v>1321</v>
      </c>
      <c r="E88" s="10" t="s">
        <v>1322</v>
      </c>
      <c r="F88" s="12" t="s">
        <v>1323</v>
      </c>
      <c r="G88" s="10">
        <v>3215.0</v>
      </c>
      <c r="H88" s="10" t="s">
        <v>19</v>
      </c>
      <c r="I88" s="12" t="s">
        <v>1185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91" t="s">
        <v>1324</v>
      </c>
      <c r="B89" s="92" t="s">
        <v>1325</v>
      </c>
      <c r="C89" s="93"/>
      <c r="D89" s="92" t="s">
        <v>472</v>
      </c>
      <c r="E89" s="92" t="s">
        <v>1326</v>
      </c>
      <c r="F89" s="92" t="s">
        <v>83</v>
      </c>
      <c r="G89" s="92">
        <v>4215.0</v>
      </c>
      <c r="H89" s="92" t="s">
        <v>33</v>
      </c>
      <c r="I89" s="87" t="s">
        <v>1185</v>
      </c>
      <c r="J89" s="93"/>
      <c r="K89" s="92" t="s">
        <v>1327</v>
      </c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</row>
    <row r="90">
      <c r="A90" s="89" t="s">
        <v>1328</v>
      </c>
      <c r="B90" s="10" t="s">
        <v>1329</v>
      </c>
      <c r="C90" s="10" t="s">
        <v>300</v>
      </c>
      <c r="D90" s="10" t="s">
        <v>472</v>
      </c>
      <c r="E90" s="10" t="s">
        <v>1330</v>
      </c>
      <c r="F90" s="10" t="s">
        <v>1331</v>
      </c>
      <c r="G90" s="10">
        <v>4509.0</v>
      </c>
      <c r="H90" s="10" t="s">
        <v>33</v>
      </c>
      <c r="I90" s="12" t="s">
        <v>1185</v>
      </c>
      <c r="J90" s="11"/>
      <c r="K90" s="10" t="s">
        <v>1332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89" t="s">
        <v>132</v>
      </c>
      <c r="B91" s="10" t="s">
        <v>133</v>
      </c>
      <c r="C91" s="10" t="s">
        <v>46</v>
      </c>
      <c r="D91" s="10" t="s">
        <v>472</v>
      </c>
      <c r="E91" s="10" t="s">
        <v>1333</v>
      </c>
      <c r="F91" s="10" t="s">
        <v>1334</v>
      </c>
      <c r="G91" s="10">
        <v>2747.0</v>
      </c>
      <c r="H91" s="10" t="s">
        <v>50</v>
      </c>
      <c r="I91" s="12" t="s">
        <v>1185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89" t="s">
        <v>1335</v>
      </c>
      <c r="B92" s="10" t="s">
        <v>1336</v>
      </c>
      <c r="C92" s="11"/>
      <c r="D92" s="10" t="s">
        <v>472</v>
      </c>
      <c r="E92" s="10" t="s">
        <v>1337</v>
      </c>
      <c r="F92" s="10" t="s">
        <v>1338</v>
      </c>
      <c r="G92" s="10">
        <v>2565.0</v>
      </c>
      <c r="H92" s="10" t="s">
        <v>50</v>
      </c>
      <c r="I92" s="12" t="s">
        <v>1185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89" t="s">
        <v>1339</v>
      </c>
      <c r="B93" s="10" t="s">
        <v>1340</v>
      </c>
      <c r="C93" s="10" t="s">
        <v>1341</v>
      </c>
      <c r="D93" s="10" t="s">
        <v>472</v>
      </c>
      <c r="E93" s="10" t="s">
        <v>1342</v>
      </c>
      <c r="F93" s="10" t="s">
        <v>1343</v>
      </c>
      <c r="G93" s="10">
        <v>6057.0</v>
      </c>
      <c r="H93" s="10" t="s">
        <v>41</v>
      </c>
      <c r="I93" s="12" t="s">
        <v>1185</v>
      </c>
      <c r="J93" s="11"/>
      <c r="K93" s="10" t="s">
        <v>1327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89" t="s">
        <v>1344</v>
      </c>
      <c r="B94" s="10" t="s">
        <v>1345</v>
      </c>
      <c r="C94" s="10" t="s">
        <v>15</v>
      </c>
      <c r="D94" s="10" t="s">
        <v>472</v>
      </c>
      <c r="E94" s="10" t="s">
        <v>1346</v>
      </c>
      <c r="F94" s="10" t="s">
        <v>1347</v>
      </c>
      <c r="G94" s="10">
        <v>4107.0</v>
      </c>
      <c r="H94" s="10" t="s">
        <v>33</v>
      </c>
      <c r="I94" s="12" t="s">
        <v>1185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89" t="s">
        <v>1348</v>
      </c>
      <c r="B95" s="10" t="s">
        <v>1349</v>
      </c>
      <c r="C95" s="11"/>
      <c r="D95" s="10" t="s">
        <v>1321</v>
      </c>
      <c r="E95" s="10" t="s">
        <v>1350</v>
      </c>
      <c r="F95" s="10" t="s">
        <v>1351</v>
      </c>
      <c r="G95" s="10">
        <v>2000.0</v>
      </c>
      <c r="H95" s="10" t="s">
        <v>50</v>
      </c>
      <c r="I95" s="12" t="s">
        <v>1185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89" t="s">
        <v>1352</v>
      </c>
      <c r="B96" s="10" t="s">
        <v>1353</v>
      </c>
      <c r="C96" s="10" t="s">
        <v>46</v>
      </c>
      <c r="D96" s="90" t="s">
        <v>1221</v>
      </c>
      <c r="E96" s="10" t="s">
        <v>1354</v>
      </c>
      <c r="F96" s="10" t="s">
        <v>1355</v>
      </c>
      <c r="G96" s="10">
        <v>5158.0</v>
      </c>
      <c r="H96" s="10" t="s">
        <v>104</v>
      </c>
      <c r="I96" s="12" t="s">
        <v>1185</v>
      </c>
      <c r="J96" s="11"/>
      <c r="K96" s="10" t="s">
        <v>1356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89" t="s">
        <v>1357</v>
      </c>
      <c r="B97" s="10" t="s">
        <v>1358</v>
      </c>
      <c r="C97" s="11"/>
      <c r="D97" s="90" t="s">
        <v>1038</v>
      </c>
      <c r="E97" s="10" t="s">
        <v>1359</v>
      </c>
      <c r="F97" s="10" t="s">
        <v>1360</v>
      </c>
      <c r="G97" s="10">
        <v>2067.0</v>
      </c>
      <c r="H97" s="10" t="s">
        <v>50</v>
      </c>
      <c r="I97" s="12" t="s">
        <v>1185</v>
      </c>
      <c r="J97" s="11"/>
      <c r="K97" s="10" t="s">
        <v>1361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91" t="s">
        <v>1362</v>
      </c>
      <c r="B98" s="92" t="s">
        <v>1363</v>
      </c>
      <c r="C98" s="92" t="s">
        <v>15</v>
      </c>
      <c r="D98" s="94" t="s">
        <v>1214</v>
      </c>
      <c r="E98" s="92" t="s">
        <v>1364</v>
      </c>
      <c r="F98" s="92" t="s">
        <v>1365</v>
      </c>
      <c r="G98" s="92">
        <v>3131.0</v>
      </c>
      <c r="H98" s="92" t="s">
        <v>19</v>
      </c>
      <c r="I98" s="87" t="s">
        <v>1185</v>
      </c>
      <c r="J98" s="93"/>
      <c r="K98" s="92" t="s">
        <v>1366</v>
      </c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</row>
    <row r="99">
      <c r="A99" s="89" t="s">
        <v>1367</v>
      </c>
      <c r="B99" s="10" t="s">
        <v>1368</v>
      </c>
      <c r="C99" s="10" t="s">
        <v>15</v>
      </c>
      <c r="D99" s="10" t="s">
        <v>1369</v>
      </c>
      <c r="E99" s="10" t="s">
        <v>1370</v>
      </c>
      <c r="F99" s="10" t="s">
        <v>56</v>
      </c>
      <c r="G99" s="10">
        <v>6164.0</v>
      </c>
      <c r="H99" s="10" t="s">
        <v>41</v>
      </c>
      <c r="I99" s="12" t="s">
        <v>1185</v>
      </c>
      <c r="J99" s="11"/>
      <c r="K99" s="10" t="s">
        <v>1371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84" t="s">
        <v>893</v>
      </c>
      <c r="B100" s="12" t="s">
        <v>894</v>
      </c>
      <c r="C100" s="12" t="s">
        <v>46</v>
      </c>
      <c r="D100" s="12" t="s">
        <v>472</v>
      </c>
      <c r="E100" s="12" t="s">
        <v>1372</v>
      </c>
      <c r="F100" s="12" t="s">
        <v>1373</v>
      </c>
      <c r="G100" s="12">
        <v>2153.0</v>
      </c>
      <c r="H100" s="12" t="s">
        <v>50</v>
      </c>
      <c r="I100" s="12" t="s">
        <v>1185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>
      <c r="A101" s="89" t="s">
        <v>886</v>
      </c>
      <c r="B101" s="10" t="s">
        <v>887</v>
      </c>
      <c r="C101" s="12" t="s">
        <v>46</v>
      </c>
      <c r="D101" s="10" t="s">
        <v>1173</v>
      </c>
      <c r="E101" s="10" t="s">
        <v>1374</v>
      </c>
      <c r="F101" s="10" t="s">
        <v>1375</v>
      </c>
      <c r="G101" s="10">
        <v>4051.0</v>
      </c>
      <c r="H101" s="10" t="s">
        <v>33</v>
      </c>
      <c r="I101" s="12" t="s">
        <v>1185</v>
      </c>
      <c r="J101" s="11"/>
      <c r="K101" s="10" t="s">
        <v>1376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89" t="s">
        <v>1377</v>
      </c>
      <c r="B102" s="10" t="s">
        <v>1378</v>
      </c>
      <c r="C102" s="10" t="s">
        <v>46</v>
      </c>
      <c r="D102" s="10" t="s">
        <v>472</v>
      </c>
      <c r="E102" s="10" t="s">
        <v>1379</v>
      </c>
      <c r="F102" s="10" t="s">
        <v>1380</v>
      </c>
      <c r="G102" s="10">
        <v>2179.0</v>
      </c>
      <c r="H102" s="10" t="s">
        <v>50</v>
      </c>
      <c r="I102" s="12" t="s">
        <v>1185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84" t="s">
        <v>1381</v>
      </c>
      <c r="B103" s="12" t="s">
        <v>1382</v>
      </c>
      <c r="C103" s="12" t="s">
        <v>15</v>
      </c>
      <c r="D103" s="12" t="s">
        <v>983</v>
      </c>
      <c r="E103" s="12" t="s">
        <v>1383</v>
      </c>
      <c r="F103" s="12" t="s">
        <v>1384</v>
      </c>
      <c r="G103" s="12">
        <v>5253.0</v>
      </c>
      <c r="H103" s="12" t="s">
        <v>104</v>
      </c>
      <c r="I103" s="12" t="s">
        <v>1185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>
      <c r="A104" s="89" t="s">
        <v>1385</v>
      </c>
      <c r="B104" s="10" t="s">
        <v>1386</v>
      </c>
      <c r="C104" s="10" t="s">
        <v>37</v>
      </c>
      <c r="D104" s="12" t="s">
        <v>983</v>
      </c>
      <c r="E104" s="10" t="s">
        <v>1387</v>
      </c>
      <c r="F104" s="10" t="s">
        <v>1388</v>
      </c>
      <c r="G104" s="10">
        <v>2066.0</v>
      </c>
      <c r="H104" s="10" t="s">
        <v>50</v>
      </c>
      <c r="I104" s="12" t="s">
        <v>1185</v>
      </c>
      <c r="J104" s="11"/>
      <c r="K104" s="10" t="s">
        <v>1389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89" t="s">
        <v>1390</v>
      </c>
      <c r="B105" s="10" t="s">
        <v>1391</v>
      </c>
      <c r="C105" s="10" t="s">
        <v>46</v>
      </c>
      <c r="D105" s="10" t="s">
        <v>1173</v>
      </c>
      <c r="E105" s="10" t="s">
        <v>1392</v>
      </c>
      <c r="F105" s="10" t="s">
        <v>1393</v>
      </c>
      <c r="G105" s="10">
        <v>2500.0</v>
      </c>
      <c r="H105" s="10" t="s">
        <v>50</v>
      </c>
      <c r="I105" s="12" t="s">
        <v>1185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89" t="s">
        <v>1394</v>
      </c>
      <c r="B106" s="10" t="s">
        <v>1395</v>
      </c>
      <c r="C106" s="11"/>
      <c r="D106" s="10" t="s">
        <v>472</v>
      </c>
      <c r="E106" s="10" t="s">
        <v>1396</v>
      </c>
      <c r="F106" s="10" t="s">
        <v>1397</v>
      </c>
      <c r="G106" s="10">
        <v>6014.0</v>
      </c>
      <c r="H106" s="10" t="s">
        <v>41</v>
      </c>
      <c r="I106" s="12" t="s">
        <v>1185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89" t="s">
        <v>1398</v>
      </c>
      <c r="B107" s="10" t="s">
        <v>1399</v>
      </c>
      <c r="C107" s="11"/>
      <c r="D107" s="12" t="s">
        <v>983</v>
      </c>
      <c r="E107" s="10" t="s">
        <v>1400</v>
      </c>
      <c r="F107" s="10" t="s">
        <v>1401</v>
      </c>
      <c r="G107" s="10">
        <v>5033.0</v>
      </c>
      <c r="H107" s="10" t="s">
        <v>104</v>
      </c>
      <c r="I107" s="12" t="s">
        <v>1185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84" t="s">
        <v>1402</v>
      </c>
      <c r="B108" s="12" t="s">
        <v>1403</v>
      </c>
      <c r="C108" s="20"/>
      <c r="D108" s="12" t="s">
        <v>472</v>
      </c>
      <c r="E108" s="12" t="s">
        <v>1404</v>
      </c>
      <c r="F108" s="12" t="s">
        <v>1405</v>
      </c>
      <c r="G108" s="12">
        <v>3156.0</v>
      </c>
      <c r="H108" s="12" t="s">
        <v>19</v>
      </c>
      <c r="I108" s="12" t="s">
        <v>1185</v>
      </c>
      <c r="J108" s="20"/>
      <c r="K108" s="12" t="s">
        <v>1406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>
      <c r="A109" s="84" t="s">
        <v>1407</v>
      </c>
      <c r="B109" s="12" t="s">
        <v>1408</v>
      </c>
      <c r="C109" s="12" t="s">
        <v>15</v>
      </c>
      <c r="D109" s="12" t="s">
        <v>472</v>
      </c>
      <c r="E109" s="12" t="s">
        <v>1409</v>
      </c>
      <c r="F109" s="12" t="s">
        <v>1410</v>
      </c>
      <c r="G109" s="12">
        <v>2085.0</v>
      </c>
      <c r="H109" s="12" t="s">
        <v>50</v>
      </c>
      <c r="I109" s="12" t="s">
        <v>1185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>
      <c r="A110" s="84" t="s">
        <v>1411</v>
      </c>
      <c r="B110" s="12" t="s">
        <v>1412</v>
      </c>
      <c r="C110" s="10" t="s">
        <v>46</v>
      </c>
      <c r="D110" s="12" t="s">
        <v>472</v>
      </c>
      <c r="E110" s="12" t="s">
        <v>1413</v>
      </c>
      <c r="F110" s="12" t="s">
        <v>1414</v>
      </c>
      <c r="G110" s="12">
        <v>2036.0</v>
      </c>
      <c r="H110" s="12" t="s">
        <v>50</v>
      </c>
      <c r="I110" s="12" t="s">
        <v>1185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>
      <c r="A111" s="89" t="s">
        <v>1415</v>
      </c>
      <c r="B111" s="10" t="s">
        <v>1416</v>
      </c>
      <c r="C111" s="10" t="s">
        <v>46</v>
      </c>
      <c r="D111" s="10" t="s">
        <v>472</v>
      </c>
      <c r="E111" s="10" t="s">
        <v>1417</v>
      </c>
      <c r="F111" s="10" t="s">
        <v>1418</v>
      </c>
      <c r="G111" s="10">
        <v>2076.0</v>
      </c>
      <c r="H111" s="10" t="s">
        <v>50</v>
      </c>
      <c r="I111" s="12" t="s">
        <v>1185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89" t="s">
        <v>1419</v>
      </c>
      <c r="B112" s="10" t="s">
        <v>1420</v>
      </c>
      <c r="C112" s="10" t="s">
        <v>15</v>
      </c>
      <c r="D112" s="10" t="s">
        <v>472</v>
      </c>
      <c r="E112" s="10" t="s">
        <v>1421</v>
      </c>
      <c r="F112" s="10" t="s">
        <v>1422</v>
      </c>
      <c r="G112" s="10">
        <v>3931.0</v>
      </c>
      <c r="H112" s="10" t="s">
        <v>19</v>
      </c>
      <c r="I112" s="12" t="s">
        <v>1185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89" t="s">
        <v>1423</v>
      </c>
      <c r="B113" s="12" t="s">
        <v>1424</v>
      </c>
      <c r="C113" s="10" t="s">
        <v>46</v>
      </c>
      <c r="D113" s="10" t="s">
        <v>472</v>
      </c>
      <c r="E113" s="10" t="s">
        <v>1425</v>
      </c>
      <c r="F113" s="10" t="s">
        <v>1426</v>
      </c>
      <c r="G113" s="10">
        <v>2765.0</v>
      </c>
      <c r="H113" s="10" t="s">
        <v>50</v>
      </c>
      <c r="I113" s="12" t="s">
        <v>1185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89" t="s">
        <v>1427</v>
      </c>
      <c r="B114" s="10" t="s">
        <v>1428</v>
      </c>
      <c r="C114" s="10" t="s">
        <v>1016</v>
      </c>
      <c r="D114" s="10" t="s">
        <v>472</v>
      </c>
      <c r="E114" s="10" t="s">
        <v>1429</v>
      </c>
      <c r="F114" s="10" t="s">
        <v>1430</v>
      </c>
      <c r="G114" s="10">
        <v>2228.0</v>
      </c>
      <c r="H114" s="10" t="s">
        <v>50</v>
      </c>
      <c r="I114" s="12" t="s">
        <v>1185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89" t="s">
        <v>1431</v>
      </c>
      <c r="B115" s="10" t="s">
        <v>1432</v>
      </c>
      <c r="C115" s="10" t="s">
        <v>46</v>
      </c>
      <c r="D115" s="10" t="s">
        <v>472</v>
      </c>
      <c r="E115" s="10" t="s">
        <v>1433</v>
      </c>
      <c r="F115" s="10" t="s">
        <v>1434</v>
      </c>
      <c r="G115" s="10">
        <v>2765.0</v>
      </c>
      <c r="H115" s="10" t="s">
        <v>50</v>
      </c>
      <c r="I115" s="12" t="s">
        <v>1185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89" t="s">
        <v>1435</v>
      </c>
      <c r="B116" s="10" t="s">
        <v>489</v>
      </c>
      <c r="C116" s="10" t="s">
        <v>46</v>
      </c>
      <c r="D116" s="10" t="s">
        <v>472</v>
      </c>
      <c r="E116" s="10" t="s">
        <v>1436</v>
      </c>
      <c r="F116" s="10" t="s">
        <v>1437</v>
      </c>
      <c r="G116" s="10">
        <v>2230.0</v>
      </c>
      <c r="H116" s="10" t="s">
        <v>50</v>
      </c>
      <c r="I116" s="12" t="s">
        <v>1185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89" t="s">
        <v>1438</v>
      </c>
      <c r="B117" s="10" t="s">
        <v>1439</v>
      </c>
      <c r="C117" s="11"/>
      <c r="D117" s="10" t="s">
        <v>472</v>
      </c>
      <c r="E117" s="10" t="s">
        <v>1440</v>
      </c>
      <c r="F117" s="10" t="s">
        <v>1441</v>
      </c>
      <c r="G117" s="10">
        <v>2211.0</v>
      </c>
      <c r="H117" s="10" t="s">
        <v>50</v>
      </c>
      <c r="I117" s="12" t="s">
        <v>1185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89" t="s">
        <v>1442</v>
      </c>
      <c r="B118" s="10" t="s">
        <v>1443</v>
      </c>
      <c r="C118" s="11"/>
      <c r="D118" s="10" t="s">
        <v>1054</v>
      </c>
      <c r="E118" s="10" t="s">
        <v>1444</v>
      </c>
      <c r="F118" s="10" t="s">
        <v>1445</v>
      </c>
      <c r="G118" s="10">
        <v>2145.0</v>
      </c>
      <c r="H118" s="10" t="s">
        <v>50</v>
      </c>
      <c r="I118" s="12" t="s">
        <v>1185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89" t="s">
        <v>1446</v>
      </c>
      <c r="B119" s="10" t="s">
        <v>1447</v>
      </c>
      <c r="C119" s="10" t="s">
        <v>15</v>
      </c>
      <c r="D119" s="10" t="s">
        <v>472</v>
      </c>
      <c r="E119" s="10" t="s">
        <v>1448</v>
      </c>
      <c r="F119" s="10" t="s">
        <v>1449</v>
      </c>
      <c r="G119" s="10">
        <v>5251.0</v>
      </c>
      <c r="H119" s="10" t="s">
        <v>104</v>
      </c>
      <c r="I119" s="12" t="s">
        <v>1185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89" t="s">
        <v>1450</v>
      </c>
      <c r="B120" s="10" t="s">
        <v>1451</v>
      </c>
      <c r="C120" s="10" t="s">
        <v>15</v>
      </c>
      <c r="D120" s="10" t="s">
        <v>983</v>
      </c>
      <c r="E120" s="10" t="s">
        <v>1452</v>
      </c>
      <c r="F120" s="10" t="s">
        <v>1453</v>
      </c>
      <c r="G120" s="10">
        <v>2126.0</v>
      </c>
      <c r="H120" s="10" t="s">
        <v>50</v>
      </c>
      <c r="I120" s="12" t="s">
        <v>1185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89" t="s">
        <v>1454</v>
      </c>
      <c r="B121" s="10" t="s">
        <v>1455</v>
      </c>
      <c r="C121" s="10" t="s">
        <v>300</v>
      </c>
      <c r="D121" s="10" t="s">
        <v>935</v>
      </c>
      <c r="E121" s="10" t="s">
        <v>1456</v>
      </c>
      <c r="F121" s="10" t="s">
        <v>1457</v>
      </c>
      <c r="G121" s="10">
        <v>3193.0</v>
      </c>
      <c r="H121" s="10" t="s">
        <v>19</v>
      </c>
      <c r="I121" s="12" t="s">
        <v>1185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89" t="s">
        <v>1458</v>
      </c>
      <c r="B122" s="10" t="s">
        <v>1459</v>
      </c>
      <c r="C122" s="10" t="s">
        <v>46</v>
      </c>
      <c r="D122" s="10" t="s">
        <v>935</v>
      </c>
      <c r="E122" s="10" t="s">
        <v>1460</v>
      </c>
      <c r="F122" s="10" t="s">
        <v>1461</v>
      </c>
      <c r="G122" s="10">
        <v>2611.0</v>
      </c>
      <c r="H122" s="10" t="s">
        <v>130</v>
      </c>
      <c r="I122" s="12" t="s">
        <v>1185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89" t="s">
        <v>1462</v>
      </c>
      <c r="B123" s="10" t="s">
        <v>1463</v>
      </c>
      <c r="C123" s="11"/>
      <c r="D123" s="10" t="s">
        <v>472</v>
      </c>
      <c r="E123" s="10" t="s">
        <v>1464</v>
      </c>
      <c r="F123" s="10" t="s">
        <v>1465</v>
      </c>
      <c r="G123" s="10">
        <v>2037.0</v>
      </c>
      <c r="H123" s="10" t="s">
        <v>50</v>
      </c>
      <c r="I123" s="12" t="s">
        <v>1185</v>
      </c>
      <c r="J123" s="11"/>
      <c r="K123" s="10" t="s">
        <v>1466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89" t="s">
        <v>1467</v>
      </c>
      <c r="B124" s="10" t="s">
        <v>1468</v>
      </c>
      <c r="C124" s="10" t="s">
        <v>46</v>
      </c>
      <c r="D124" s="10" t="s">
        <v>472</v>
      </c>
      <c r="E124" s="10" t="s">
        <v>1469</v>
      </c>
      <c r="F124" s="10" t="s">
        <v>1470</v>
      </c>
      <c r="G124" s="10">
        <v>2750.0</v>
      </c>
      <c r="H124" s="10" t="s">
        <v>50</v>
      </c>
      <c r="I124" s="12" t="s">
        <v>1185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89" t="s">
        <v>1471</v>
      </c>
      <c r="B125" s="10" t="s">
        <v>1472</v>
      </c>
      <c r="C125" s="10" t="s">
        <v>15</v>
      </c>
      <c r="D125" s="10" t="s">
        <v>472</v>
      </c>
      <c r="E125" s="10" t="s">
        <v>1473</v>
      </c>
      <c r="F125" s="10" t="s">
        <v>1474</v>
      </c>
      <c r="G125" s="10">
        <v>3911.0</v>
      </c>
      <c r="H125" s="10" t="s">
        <v>19</v>
      </c>
      <c r="I125" s="12" t="s">
        <v>1185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89" t="s">
        <v>1475</v>
      </c>
      <c r="B126" s="10" t="s">
        <v>1476</v>
      </c>
      <c r="C126" s="10" t="s">
        <v>46</v>
      </c>
      <c r="D126" s="10" t="s">
        <v>472</v>
      </c>
      <c r="E126" s="10" t="s">
        <v>1477</v>
      </c>
      <c r="F126" s="10" t="s">
        <v>1478</v>
      </c>
      <c r="G126" s="10">
        <v>2567.0</v>
      </c>
      <c r="H126" s="10" t="s">
        <v>50</v>
      </c>
      <c r="I126" s="12" t="s">
        <v>1185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91" t="s">
        <v>1479</v>
      </c>
      <c r="B127" s="92" t="s">
        <v>1480</v>
      </c>
      <c r="C127" s="92" t="s">
        <v>46</v>
      </c>
      <c r="D127" s="92" t="s">
        <v>472</v>
      </c>
      <c r="E127" s="92" t="s">
        <v>1481</v>
      </c>
      <c r="F127" s="92" t="s">
        <v>1482</v>
      </c>
      <c r="G127" s="92">
        <v>2445.0</v>
      </c>
      <c r="H127" s="92" t="s">
        <v>50</v>
      </c>
      <c r="I127" s="87" t="s">
        <v>1185</v>
      </c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</row>
    <row r="128">
      <c r="A128" s="89" t="s">
        <v>565</v>
      </c>
      <c r="B128" s="10" t="s">
        <v>566</v>
      </c>
      <c r="C128" s="10" t="s">
        <v>15</v>
      </c>
      <c r="D128" s="10" t="s">
        <v>935</v>
      </c>
      <c r="E128" s="10" t="s">
        <v>567</v>
      </c>
      <c r="F128" s="10" t="s">
        <v>568</v>
      </c>
      <c r="G128" s="10">
        <v>3217.0</v>
      </c>
      <c r="H128" s="10" t="s">
        <v>19</v>
      </c>
      <c r="I128" s="12" t="s">
        <v>1185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89" t="s">
        <v>1483</v>
      </c>
      <c r="B129" s="10" t="s">
        <v>1484</v>
      </c>
      <c r="C129" s="10" t="s">
        <v>15</v>
      </c>
      <c r="D129" s="10" t="s">
        <v>472</v>
      </c>
      <c r="E129" s="10" t="s">
        <v>1485</v>
      </c>
      <c r="F129" s="10" t="s">
        <v>1486</v>
      </c>
      <c r="G129" s="10">
        <v>4655.0</v>
      </c>
      <c r="H129" s="10" t="s">
        <v>33</v>
      </c>
      <c r="I129" s="12" t="s">
        <v>1185</v>
      </c>
      <c r="J129" s="11"/>
      <c r="K129" s="10" t="s">
        <v>1487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89" t="s">
        <v>1488</v>
      </c>
      <c r="B130" s="10" t="s">
        <v>1489</v>
      </c>
      <c r="C130" s="10" t="s">
        <v>46</v>
      </c>
      <c r="D130" s="10" t="s">
        <v>472</v>
      </c>
      <c r="E130" s="10" t="s">
        <v>1490</v>
      </c>
      <c r="F130" s="10" t="s">
        <v>1491</v>
      </c>
      <c r="G130" s="10">
        <v>5343.0</v>
      </c>
      <c r="H130" s="10" t="s">
        <v>104</v>
      </c>
      <c r="I130" s="12" t="s">
        <v>1185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89" t="s">
        <v>1492</v>
      </c>
      <c r="B131" s="10" t="s">
        <v>1493</v>
      </c>
      <c r="C131" s="10" t="s">
        <v>15</v>
      </c>
      <c r="D131" s="10" t="s">
        <v>472</v>
      </c>
      <c r="E131" s="10" t="s">
        <v>1494</v>
      </c>
      <c r="F131" s="10" t="s">
        <v>1495</v>
      </c>
      <c r="G131" s="10">
        <v>2877.0</v>
      </c>
      <c r="H131" s="10" t="s">
        <v>50</v>
      </c>
      <c r="I131" s="10" t="s">
        <v>1185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89" t="s">
        <v>1496</v>
      </c>
      <c r="B132" s="10" t="s">
        <v>1497</v>
      </c>
      <c r="C132" s="10" t="s">
        <v>15</v>
      </c>
      <c r="D132" s="10" t="s">
        <v>472</v>
      </c>
      <c r="E132" s="10" t="s">
        <v>1448</v>
      </c>
      <c r="F132" s="10" t="s">
        <v>1449</v>
      </c>
      <c r="G132" s="10">
        <v>5251.0</v>
      </c>
      <c r="H132" s="10" t="s">
        <v>104</v>
      </c>
      <c r="I132" s="10" t="s">
        <v>1185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89" t="s">
        <v>1498</v>
      </c>
      <c r="B133" s="10" t="s">
        <v>1499</v>
      </c>
      <c r="C133" s="11"/>
      <c r="D133" s="10" t="s">
        <v>472</v>
      </c>
      <c r="E133" s="10" t="s">
        <v>1500</v>
      </c>
      <c r="F133" s="10" t="s">
        <v>1501</v>
      </c>
      <c r="G133" s="10">
        <v>6006.0</v>
      </c>
      <c r="H133" s="10" t="s">
        <v>41</v>
      </c>
      <c r="I133" s="10" t="s">
        <v>1185</v>
      </c>
      <c r="J133" s="11"/>
      <c r="K133" s="10" t="s">
        <v>1502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89" t="s">
        <v>1503</v>
      </c>
      <c r="B134" s="10" t="s">
        <v>1504</v>
      </c>
      <c r="C134" s="10" t="s">
        <v>15</v>
      </c>
      <c r="D134" s="10" t="s">
        <v>472</v>
      </c>
      <c r="E134" s="10" t="s">
        <v>1505</v>
      </c>
      <c r="F134" s="10" t="s">
        <v>1506</v>
      </c>
      <c r="G134" s="10">
        <v>2519.0</v>
      </c>
      <c r="H134" s="10" t="s">
        <v>50</v>
      </c>
      <c r="I134" s="10" t="s">
        <v>1185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89" t="s">
        <v>897</v>
      </c>
      <c r="B135" s="10" t="s">
        <v>1507</v>
      </c>
      <c r="C135" s="10" t="s">
        <v>15</v>
      </c>
      <c r="D135" s="10" t="s">
        <v>1173</v>
      </c>
      <c r="E135" s="10" t="s">
        <v>1508</v>
      </c>
      <c r="F135" s="10" t="s">
        <v>1509</v>
      </c>
      <c r="G135" s="10">
        <v>4220.0</v>
      </c>
      <c r="H135" s="10" t="s">
        <v>33</v>
      </c>
      <c r="I135" s="10" t="s">
        <v>1185</v>
      </c>
      <c r="J135" s="11"/>
      <c r="K135" s="10" t="s">
        <v>1510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89" t="s">
        <v>1511</v>
      </c>
      <c r="B136" s="10" t="s">
        <v>1512</v>
      </c>
      <c r="C136" s="10" t="s">
        <v>46</v>
      </c>
      <c r="D136" s="10" t="s">
        <v>472</v>
      </c>
      <c r="E136" s="10" t="s">
        <v>1513</v>
      </c>
      <c r="F136" s="10" t="s">
        <v>1514</v>
      </c>
      <c r="G136" s="10">
        <v>4053.0</v>
      </c>
      <c r="H136" s="10" t="s">
        <v>33</v>
      </c>
      <c r="I136" s="10" t="s">
        <v>1185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89" t="s">
        <v>1515</v>
      </c>
      <c r="B137" s="10" t="s">
        <v>1516</v>
      </c>
      <c r="C137" s="10" t="s">
        <v>15</v>
      </c>
      <c r="D137" s="10" t="s">
        <v>472</v>
      </c>
      <c r="E137" s="10" t="s">
        <v>1517</v>
      </c>
      <c r="F137" s="10" t="s">
        <v>1518</v>
      </c>
      <c r="G137" s="10">
        <v>4221.0</v>
      </c>
      <c r="H137" s="10" t="s">
        <v>33</v>
      </c>
      <c r="I137" s="10" t="s">
        <v>1185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89" t="s">
        <v>1519</v>
      </c>
      <c r="B138" s="10" t="s">
        <v>1520</v>
      </c>
      <c r="C138" s="10" t="s">
        <v>46</v>
      </c>
      <c r="D138" s="10" t="s">
        <v>935</v>
      </c>
      <c r="E138" s="10" t="s">
        <v>1521</v>
      </c>
      <c r="F138" s="10" t="s">
        <v>1522</v>
      </c>
      <c r="G138" s="10">
        <v>4551.0</v>
      </c>
      <c r="H138" s="10" t="s">
        <v>33</v>
      </c>
      <c r="I138" s="10" t="s">
        <v>1185</v>
      </c>
      <c r="J138" s="11"/>
      <c r="K138" s="10" t="s">
        <v>1523</v>
      </c>
      <c r="L138" s="20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91" t="s">
        <v>1524</v>
      </c>
      <c r="B139" s="92" t="s">
        <v>1525</v>
      </c>
      <c r="C139" s="92" t="s">
        <v>46</v>
      </c>
      <c r="D139" s="92" t="s">
        <v>983</v>
      </c>
      <c r="E139" s="92" t="s">
        <v>1526</v>
      </c>
      <c r="F139" s="92" t="s">
        <v>1527</v>
      </c>
      <c r="G139" s="92">
        <v>4703.0</v>
      </c>
      <c r="H139" s="92" t="s">
        <v>33</v>
      </c>
      <c r="I139" s="92" t="s">
        <v>1185</v>
      </c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</row>
    <row r="140">
      <c r="A140" s="89" t="s">
        <v>1528</v>
      </c>
      <c r="B140" s="10" t="s">
        <v>1529</v>
      </c>
      <c r="C140" s="11"/>
      <c r="D140" s="10" t="s">
        <v>472</v>
      </c>
      <c r="E140" s="10" t="s">
        <v>1530</v>
      </c>
      <c r="F140" s="10" t="s">
        <v>1531</v>
      </c>
      <c r="G140" s="10">
        <v>4224.0</v>
      </c>
      <c r="H140" s="10" t="s">
        <v>33</v>
      </c>
      <c r="I140" s="10" t="s">
        <v>1185</v>
      </c>
      <c r="J140" s="11"/>
      <c r="K140" s="10" t="s">
        <v>1532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89" t="s">
        <v>1533</v>
      </c>
      <c r="B141" s="10" t="s">
        <v>1534</v>
      </c>
      <c r="C141" s="11"/>
      <c r="D141" s="10" t="s">
        <v>472</v>
      </c>
      <c r="E141" s="10" t="s">
        <v>1535</v>
      </c>
      <c r="F141" s="10" t="s">
        <v>1536</v>
      </c>
      <c r="G141" s="10">
        <v>4011.0</v>
      </c>
      <c r="H141" s="10" t="s">
        <v>33</v>
      </c>
      <c r="I141" s="10" t="s">
        <v>1185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89" t="s">
        <v>1537</v>
      </c>
      <c r="B142" s="10" t="s">
        <v>1538</v>
      </c>
      <c r="C142" s="10" t="s">
        <v>15</v>
      </c>
      <c r="D142" s="10" t="s">
        <v>983</v>
      </c>
      <c r="E142" s="10" t="s">
        <v>1539</v>
      </c>
      <c r="F142" s="10" t="s">
        <v>1540</v>
      </c>
      <c r="G142" s="10">
        <v>3089.0</v>
      </c>
      <c r="H142" s="10" t="s">
        <v>19</v>
      </c>
      <c r="I142" s="10" t="s">
        <v>1185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89" t="s">
        <v>1541</v>
      </c>
      <c r="B143" s="10" t="s">
        <v>1542</v>
      </c>
      <c r="C143" s="10" t="s">
        <v>15</v>
      </c>
      <c r="D143" s="10" t="s">
        <v>472</v>
      </c>
      <c r="E143" s="10" t="s">
        <v>1543</v>
      </c>
      <c r="F143" s="10" t="s">
        <v>1544</v>
      </c>
      <c r="G143" s="10">
        <v>4572.0</v>
      </c>
      <c r="H143" s="10" t="s">
        <v>33</v>
      </c>
      <c r="I143" s="10" t="s">
        <v>1185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89" t="s">
        <v>132</v>
      </c>
      <c r="B144" s="10" t="s">
        <v>133</v>
      </c>
      <c r="C144" s="10" t="s">
        <v>15</v>
      </c>
      <c r="D144" s="10" t="s">
        <v>1173</v>
      </c>
      <c r="E144" s="10" t="s">
        <v>1333</v>
      </c>
      <c r="F144" s="10" t="s">
        <v>1334</v>
      </c>
      <c r="G144" s="10">
        <v>2747.0</v>
      </c>
      <c r="H144" s="10" t="s">
        <v>50</v>
      </c>
      <c r="I144" s="12" t="s">
        <v>1185</v>
      </c>
      <c r="J144" s="11"/>
      <c r="K144" s="10" t="s">
        <v>1545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63" t="s">
        <v>1546</v>
      </c>
      <c r="B145" s="23" t="s">
        <v>1120</v>
      </c>
      <c r="C145" s="23"/>
      <c r="D145" s="23" t="s">
        <v>1173</v>
      </c>
      <c r="E145" s="23" t="s">
        <v>1547</v>
      </c>
      <c r="F145" s="23" t="s">
        <v>1548</v>
      </c>
      <c r="G145" s="23">
        <v>4217.0</v>
      </c>
      <c r="H145" s="23" t="s">
        <v>33</v>
      </c>
      <c r="I145" s="12" t="s">
        <v>1185</v>
      </c>
      <c r="J145" s="23" t="s">
        <v>1122</v>
      </c>
      <c r="K145" s="23" t="s">
        <v>1123</v>
      </c>
      <c r="L145" s="23"/>
      <c r="M145" s="24"/>
      <c r="N145" s="24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>
      <c r="A146" s="89" t="s">
        <v>1549</v>
      </c>
      <c r="B146" s="10" t="s">
        <v>519</v>
      </c>
      <c r="C146" s="10" t="s">
        <v>15</v>
      </c>
      <c r="D146" s="10" t="s">
        <v>1173</v>
      </c>
      <c r="E146" s="10" t="s">
        <v>520</v>
      </c>
      <c r="F146" s="10" t="s">
        <v>521</v>
      </c>
      <c r="G146" s="10">
        <v>2026.0</v>
      </c>
      <c r="H146" s="12" t="s">
        <v>50</v>
      </c>
      <c r="I146" s="12" t="s">
        <v>1185</v>
      </c>
      <c r="J146" s="10" t="s">
        <v>522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89" t="s">
        <v>1550</v>
      </c>
      <c r="B147" s="10" t="s">
        <v>1551</v>
      </c>
      <c r="C147" s="10" t="s">
        <v>46</v>
      </c>
      <c r="D147" s="10" t="s">
        <v>935</v>
      </c>
      <c r="E147" s="10" t="s">
        <v>1552</v>
      </c>
      <c r="F147" s="10" t="s">
        <v>1553</v>
      </c>
      <c r="G147" s="10">
        <v>3805.0</v>
      </c>
      <c r="H147" s="10" t="s">
        <v>19</v>
      </c>
      <c r="I147" s="10" t="s">
        <v>1185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89" t="s">
        <v>1554</v>
      </c>
      <c r="B148" s="10" t="s">
        <v>1555</v>
      </c>
      <c r="C148" s="10" t="s">
        <v>15</v>
      </c>
      <c r="D148" s="10" t="s">
        <v>472</v>
      </c>
      <c r="E148" s="10" t="s">
        <v>1556</v>
      </c>
      <c r="F148" s="10" t="s">
        <v>1557</v>
      </c>
      <c r="G148" s="10">
        <v>3805.0</v>
      </c>
      <c r="H148" s="10" t="s">
        <v>19</v>
      </c>
      <c r="I148" s="10" t="s">
        <v>1185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89" t="s">
        <v>1488</v>
      </c>
      <c r="B149" s="10" t="s">
        <v>1489</v>
      </c>
      <c r="C149" s="10"/>
      <c r="D149" s="10" t="s">
        <v>983</v>
      </c>
      <c r="E149" s="10" t="s">
        <v>1490</v>
      </c>
      <c r="F149" s="10" t="s">
        <v>1491</v>
      </c>
      <c r="G149" s="10">
        <v>5343.0</v>
      </c>
      <c r="H149" s="10" t="s">
        <v>104</v>
      </c>
      <c r="I149" s="12" t="s">
        <v>1185</v>
      </c>
      <c r="J149" s="11"/>
      <c r="K149" s="10" t="s">
        <v>1558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89" t="s">
        <v>1559</v>
      </c>
      <c r="B150" s="10" t="s">
        <v>1560</v>
      </c>
      <c r="C150" s="11"/>
      <c r="D150" s="10" t="s">
        <v>472</v>
      </c>
      <c r="E150" s="10" t="s">
        <v>1561</v>
      </c>
      <c r="F150" s="10" t="s">
        <v>1562</v>
      </c>
      <c r="G150" s="10">
        <v>4553.0</v>
      </c>
      <c r="H150" s="10" t="s">
        <v>33</v>
      </c>
      <c r="I150" s="12" t="s">
        <v>1185</v>
      </c>
      <c r="J150" s="10" t="s">
        <v>1563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89" t="s">
        <v>1564</v>
      </c>
      <c r="B151" s="10" t="s">
        <v>1565</v>
      </c>
      <c r="C151" s="10" t="s">
        <v>37</v>
      </c>
      <c r="D151" s="10" t="s">
        <v>983</v>
      </c>
      <c r="E151" s="95" t="s">
        <v>1566</v>
      </c>
      <c r="F151" s="10" t="s">
        <v>1567</v>
      </c>
      <c r="G151" s="10">
        <v>2787.0</v>
      </c>
      <c r="H151" s="10" t="s">
        <v>50</v>
      </c>
      <c r="I151" s="12" t="s">
        <v>1185</v>
      </c>
      <c r="J151" s="11"/>
      <c r="K151" s="10" t="s">
        <v>1568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89" t="s">
        <v>1569</v>
      </c>
      <c r="B152" s="10" t="s">
        <v>1570</v>
      </c>
      <c r="C152" s="11"/>
      <c r="D152" s="10" t="s">
        <v>472</v>
      </c>
      <c r="E152" s="10" t="s">
        <v>1571</v>
      </c>
      <c r="F152" s="10" t="s">
        <v>1572</v>
      </c>
      <c r="G152" s="10">
        <v>4065.0</v>
      </c>
      <c r="H152" s="10" t="s">
        <v>33</v>
      </c>
      <c r="I152" s="12" t="s">
        <v>1185</v>
      </c>
      <c r="J152" s="10" t="s">
        <v>1573</v>
      </c>
      <c r="K152" s="10">
        <v>4.3591448E8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89" t="s">
        <v>1574</v>
      </c>
      <c r="B153" s="10" t="s">
        <v>1575</v>
      </c>
      <c r="C153" s="11"/>
      <c r="D153" s="10" t="s">
        <v>472</v>
      </c>
      <c r="E153" s="10" t="s">
        <v>1576</v>
      </c>
      <c r="F153" s="10" t="s">
        <v>1577</v>
      </c>
      <c r="G153" s="10">
        <v>4306.0</v>
      </c>
      <c r="H153" s="10" t="s">
        <v>33</v>
      </c>
      <c r="I153" s="12" t="s">
        <v>1185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89" t="s">
        <v>1578</v>
      </c>
      <c r="B154" s="10" t="s">
        <v>1579</v>
      </c>
      <c r="C154" s="10" t="s">
        <v>15</v>
      </c>
      <c r="D154" s="10" t="s">
        <v>472</v>
      </c>
      <c r="E154" s="10" t="s">
        <v>1580</v>
      </c>
      <c r="F154" s="10" t="s">
        <v>1581</v>
      </c>
      <c r="G154" s="10">
        <v>4227.0</v>
      </c>
      <c r="H154" s="10" t="s">
        <v>33</v>
      </c>
      <c r="I154" s="12" t="s">
        <v>1185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89" t="s">
        <v>1582</v>
      </c>
      <c r="B155" s="10" t="s">
        <v>1583</v>
      </c>
      <c r="C155" s="10" t="s">
        <v>46</v>
      </c>
      <c r="D155" s="10" t="s">
        <v>1173</v>
      </c>
      <c r="E155" s="10" t="s">
        <v>1584</v>
      </c>
      <c r="F155" s="10" t="s">
        <v>1585</v>
      </c>
      <c r="G155" s="10">
        <v>4505.0</v>
      </c>
      <c r="H155" s="10" t="s">
        <v>33</v>
      </c>
      <c r="I155" s="10" t="s">
        <v>1185</v>
      </c>
      <c r="J155" s="11"/>
      <c r="K155" s="10" t="s">
        <v>1586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89" t="s">
        <v>1587</v>
      </c>
      <c r="B156" s="10" t="s">
        <v>1588</v>
      </c>
      <c r="C156" s="10" t="s">
        <v>15</v>
      </c>
      <c r="D156" s="10" t="s">
        <v>935</v>
      </c>
      <c r="E156" s="10" t="s">
        <v>1589</v>
      </c>
      <c r="F156" s="10" t="s">
        <v>1590</v>
      </c>
      <c r="G156" s="10">
        <v>4220.0</v>
      </c>
      <c r="H156" s="10" t="s">
        <v>33</v>
      </c>
      <c r="I156" s="10" t="s">
        <v>1185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89" t="s">
        <v>1591</v>
      </c>
      <c r="B157" s="10" t="s">
        <v>1592</v>
      </c>
      <c r="C157" s="10" t="s">
        <v>15</v>
      </c>
      <c r="D157" s="10" t="s">
        <v>983</v>
      </c>
      <c r="E157" s="10" t="s">
        <v>1593</v>
      </c>
      <c r="F157" s="10" t="s">
        <v>1594</v>
      </c>
      <c r="G157" s="10">
        <v>2111.0</v>
      </c>
      <c r="H157" s="10" t="s">
        <v>50</v>
      </c>
      <c r="I157" s="10" t="s">
        <v>1185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89" t="s">
        <v>1595</v>
      </c>
      <c r="B158" s="10" t="s">
        <v>1596</v>
      </c>
      <c r="C158" s="10" t="s">
        <v>15</v>
      </c>
      <c r="D158" s="10" t="s">
        <v>472</v>
      </c>
      <c r="E158" s="10" t="s">
        <v>1597</v>
      </c>
      <c r="F158" s="10" t="s">
        <v>1598</v>
      </c>
      <c r="G158" s="10">
        <v>4169.0</v>
      </c>
      <c r="H158" s="10" t="s">
        <v>33</v>
      </c>
      <c r="I158" s="10" t="s">
        <v>1185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89" t="s">
        <v>1599</v>
      </c>
      <c r="B159" s="10" t="s">
        <v>1600</v>
      </c>
      <c r="C159" s="10" t="s">
        <v>15</v>
      </c>
      <c r="D159" s="10" t="s">
        <v>472</v>
      </c>
      <c r="E159" s="10" t="s">
        <v>1601</v>
      </c>
      <c r="F159" s="10" t="s">
        <v>1602</v>
      </c>
      <c r="G159" s="10">
        <v>4810.0</v>
      </c>
      <c r="H159" s="10" t="s">
        <v>33</v>
      </c>
      <c r="I159" s="10" t="s">
        <v>1185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89" t="s">
        <v>1603</v>
      </c>
      <c r="B160" s="10" t="s">
        <v>1604</v>
      </c>
      <c r="C160" s="10" t="s">
        <v>37</v>
      </c>
      <c r="D160" s="10" t="s">
        <v>472</v>
      </c>
      <c r="E160" s="10" t="s">
        <v>1605</v>
      </c>
      <c r="F160" s="10" t="s">
        <v>1606</v>
      </c>
      <c r="G160" s="10">
        <v>4503.0</v>
      </c>
      <c r="H160" s="10" t="s">
        <v>33</v>
      </c>
      <c r="I160" s="10" t="s">
        <v>1185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89" t="s">
        <v>1607</v>
      </c>
      <c r="B161" s="10" t="s">
        <v>1608</v>
      </c>
      <c r="C161" s="10" t="s">
        <v>15</v>
      </c>
      <c r="D161" s="10" t="s">
        <v>472</v>
      </c>
      <c r="E161" s="10" t="s">
        <v>1609</v>
      </c>
      <c r="F161" s="10" t="s">
        <v>1610</v>
      </c>
      <c r="G161" s="10">
        <v>2325.0</v>
      </c>
      <c r="H161" s="10" t="s">
        <v>50</v>
      </c>
      <c r="I161" s="10" t="s">
        <v>1185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89" t="s">
        <v>1611</v>
      </c>
      <c r="B162" s="10" t="s">
        <v>1612</v>
      </c>
      <c r="C162" s="11"/>
      <c r="D162" s="10" t="s">
        <v>935</v>
      </c>
      <c r="E162" s="10" t="s">
        <v>1613</v>
      </c>
      <c r="F162" s="10" t="s">
        <v>1614</v>
      </c>
      <c r="G162" s="10">
        <v>4500.0</v>
      </c>
      <c r="H162" s="10" t="s">
        <v>33</v>
      </c>
      <c r="I162" s="10" t="s">
        <v>1185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89" t="s">
        <v>1615</v>
      </c>
      <c r="B163" s="10" t="s">
        <v>1616</v>
      </c>
      <c r="C163" s="10" t="s">
        <v>15</v>
      </c>
      <c r="D163" s="10" t="s">
        <v>472</v>
      </c>
      <c r="E163" s="10" t="s">
        <v>1617</v>
      </c>
      <c r="F163" s="10" t="s">
        <v>1618</v>
      </c>
      <c r="G163" s="10">
        <v>4170.0</v>
      </c>
      <c r="H163" s="10" t="s">
        <v>33</v>
      </c>
      <c r="I163" s="10" t="s">
        <v>1185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91" t="s">
        <v>1467</v>
      </c>
      <c r="B164" s="92" t="s">
        <v>1468</v>
      </c>
      <c r="C164" s="92" t="s">
        <v>15</v>
      </c>
      <c r="D164" s="92" t="s">
        <v>1173</v>
      </c>
      <c r="E164" s="92" t="s">
        <v>1469</v>
      </c>
      <c r="F164" s="92" t="s">
        <v>1470</v>
      </c>
      <c r="G164" s="92">
        <v>2750.0</v>
      </c>
      <c r="H164" s="92" t="s">
        <v>50</v>
      </c>
      <c r="I164" s="87" t="s">
        <v>1185</v>
      </c>
      <c r="J164" s="93"/>
      <c r="K164" s="92" t="s">
        <v>1619</v>
      </c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</row>
    <row r="165">
      <c r="A165" s="89" t="s">
        <v>1620</v>
      </c>
      <c r="B165" s="10" t="s">
        <v>1621</v>
      </c>
      <c r="C165" s="10" t="s">
        <v>15</v>
      </c>
      <c r="D165" s="10" t="s">
        <v>472</v>
      </c>
      <c r="E165" s="10" t="s">
        <v>1622</v>
      </c>
      <c r="F165" s="10" t="s">
        <v>1623</v>
      </c>
      <c r="G165" s="10">
        <v>3172.0</v>
      </c>
      <c r="H165" s="10" t="s">
        <v>19</v>
      </c>
      <c r="I165" s="10" t="s">
        <v>1185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89" t="s">
        <v>1624</v>
      </c>
      <c r="B166" s="10" t="s">
        <v>1625</v>
      </c>
      <c r="C166" s="11"/>
      <c r="D166" s="10" t="s">
        <v>1173</v>
      </c>
      <c r="E166" s="10" t="s">
        <v>1626</v>
      </c>
      <c r="F166" s="10" t="s">
        <v>1627</v>
      </c>
      <c r="G166" s="10">
        <v>2085.0</v>
      </c>
      <c r="H166" s="10" t="s">
        <v>50</v>
      </c>
      <c r="I166" s="10" t="s">
        <v>1185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89" t="s">
        <v>1628</v>
      </c>
      <c r="B167" s="10" t="s">
        <v>1629</v>
      </c>
      <c r="C167" s="10" t="s">
        <v>15</v>
      </c>
      <c r="D167" s="10" t="s">
        <v>472</v>
      </c>
      <c r="E167" s="10" t="s">
        <v>1630</v>
      </c>
      <c r="F167" s="10" t="s">
        <v>1631</v>
      </c>
      <c r="G167" s="10">
        <v>2575.0</v>
      </c>
      <c r="H167" s="10" t="s">
        <v>50</v>
      </c>
      <c r="I167" s="10" t="s">
        <v>1185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89" t="s">
        <v>1632</v>
      </c>
      <c r="B168" s="10" t="s">
        <v>1633</v>
      </c>
      <c r="C168" s="11"/>
      <c r="D168" s="10" t="s">
        <v>1634</v>
      </c>
      <c r="E168" s="10" t="s">
        <v>1635</v>
      </c>
      <c r="F168" s="10" t="s">
        <v>1636</v>
      </c>
      <c r="G168" s="10">
        <v>4209.0</v>
      </c>
      <c r="H168" s="10" t="s">
        <v>33</v>
      </c>
      <c r="I168" s="10" t="s">
        <v>1185</v>
      </c>
      <c r="J168" s="11"/>
      <c r="K168" s="10" t="s">
        <v>1637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33" t="s">
        <v>1638</v>
      </c>
      <c r="B169" s="10" t="s">
        <v>900</v>
      </c>
      <c r="C169" s="11"/>
      <c r="D169" s="12" t="s">
        <v>47</v>
      </c>
      <c r="E169" s="10" t="s">
        <v>1639</v>
      </c>
      <c r="F169" s="10" t="s">
        <v>1640</v>
      </c>
      <c r="G169" s="10">
        <v>3805.0</v>
      </c>
      <c r="H169" s="10" t="s">
        <v>19</v>
      </c>
      <c r="I169" s="10" t="s">
        <v>1185</v>
      </c>
      <c r="J169" s="11"/>
      <c r="K169" s="10" t="s">
        <v>1641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33" t="s">
        <v>1642</v>
      </c>
      <c r="B170" s="10" t="s">
        <v>1643</v>
      </c>
      <c r="C170" s="10" t="s">
        <v>15</v>
      </c>
      <c r="D170" s="12" t="s">
        <v>38</v>
      </c>
      <c r="E170" s="10" t="s">
        <v>1644</v>
      </c>
      <c r="F170" s="10" t="s">
        <v>146</v>
      </c>
      <c r="G170" s="10">
        <v>2300.0</v>
      </c>
      <c r="H170" s="10" t="s">
        <v>50</v>
      </c>
      <c r="I170" s="10" t="s">
        <v>1185</v>
      </c>
      <c r="J170" s="11"/>
      <c r="K170" s="10" t="s">
        <v>1645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33" t="s">
        <v>1646</v>
      </c>
      <c r="B171" s="10" t="s">
        <v>1647</v>
      </c>
      <c r="C171" s="11"/>
      <c r="D171" s="12" t="s">
        <v>47</v>
      </c>
      <c r="E171" s="10" t="s">
        <v>1648</v>
      </c>
      <c r="F171" s="10" t="s">
        <v>1649</v>
      </c>
      <c r="G171" s="10">
        <v>3941.0</v>
      </c>
      <c r="H171" s="10" t="s">
        <v>19</v>
      </c>
      <c r="I171" s="10" t="s">
        <v>1185</v>
      </c>
      <c r="J171" s="11"/>
      <c r="K171" s="1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33" t="s">
        <v>1650</v>
      </c>
      <c r="B172" s="10" t="s">
        <v>1651</v>
      </c>
      <c r="C172" s="10" t="s">
        <v>15</v>
      </c>
      <c r="D172" s="12" t="s">
        <v>65</v>
      </c>
      <c r="E172" s="10" t="s">
        <v>1652</v>
      </c>
      <c r="F172" s="10" t="s">
        <v>1653</v>
      </c>
      <c r="G172" s="10">
        <v>3170.0</v>
      </c>
      <c r="H172" s="10" t="s">
        <v>19</v>
      </c>
      <c r="I172" s="10" t="s">
        <v>1185</v>
      </c>
      <c r="J172" s="10" t="s">
        <v>1654</v>
      </c>
      <c r="K172" s="10" t="s">
        <v>1655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33" t="s">
        <v>1656</v>
      </c>
      <c r="B173" s="10" t="s">
        <v>1657</v>
      </c>
      <c r="C173" s="10" t="s">
        <v>46</v>
      </c>
      <c r="D173" s="12" t="s">
        <v>47</v>
      </c>
      <c r="E173" s="10" t="s">
        <v>1658</v>
      </c>
      <c r="F173" s="10" t="s">
        <v>1659</v>
      </c>
      <c r="G173" s="10">
        <v>3028.0</v>
      </c>
      <c r="H173" s="10" t="s">
        <v>19</v>
      </c>
      <c r="I173" s="10" t="s">
        <v>1185</v>
      </c>
      <c r="J173" s="11"/>
      <c r="K173" s="1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33" t="s">
        <v>1660</v>
      </c>
      <c r="B174" s="10" t="s">
        <v>1661</v>
      </c>
      <c r="C174" s="10" t="s">
        <v>15</v>
      </c>
      <c r="D174" s="12" t="s">
        <v>47</v>
      </c>
      <c r="E174" s="10" t="s">
        <v>1662</v>
      </c>
      <c r="F174" s="10" t="s">
        <v>1663</v>
      </c>
      <c r="G174" s="10">
        <v>4223.0</v>
      </c>
      <c r="H174" s="10" t="s">
        <v>33</v>
      </c>
      <c r="I174" s="10" t="s">
        <v>1185</v>
      </c>
      <c r="J174" s="11"/>
      <c r="K174" s="1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33" t="s">
        <v>1664</v>
      </c>
      <c r="B175" s="10" t="s">
        <v>1665</v>
      </c>
      <c r="C175" s="10" t="s">
        <v>15</v>
      </c>
      <c r="D175" s="12" t="s">
        <v>47</v>
      </c>
      <c r="E175" s="10" t="s">
        <v>1666</v>
      </c>
      <c r="F175" s="10" t="s">
        <v>1667</v>
      </c>
      <c r="G175" s="10">
        <v>2303.0</v>
      </c>
      <c r="H175" s="10" t="s">
        <v>50</v>
      </c>
      <c r="I175" s="10" t="s">
        <v>1185</v>
      </c>
      <c r="J175" s="11"/>
      <c r="K175" s="1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33" t="s">
        <v>1668</v>
      </c>
      <c r="B176" s="10" t="s">
        <v>1669</v>
      </c>
      <c r="C176" s="10" t="s">
        <v>15</v>
      </c>
      <c r="D176" s="12" t="s">
        <v>65</v>
      </c>
      <c r="E176" s="10" t="s">
        <v>1670</v>
      </c>
      <c r="F176" s="10" t="s">
        <v>1671</v>
      </c>
      <c r="G176" s="10">
        <v>4560.0</v>
      </c>
      <c r="H176" s="10" t="s">
        <v>33</v>
      </c>
      <c r="I176" s="10" t="s">
        <v>1185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33" t="s">
        <v>1672</v>
      </c>
      <c r="B177" s="10" t="s">
        <v>1673</v>
      </c>
      <c r="C177" s="10" t="s">
        <v>37</v>
      </c>
      <c r="D177" s="12" t="s">
        <v>47</v>
      </c>
      <c r="E177" s="10" t="s">
        <v>1674</v>
      </c>
      <c r="F177" s="10" t="s">
        <v>1675</v>
      </c>
      <c r="G177" s="10">
        <v>2327.0</v>
      </c>
      <c r="H177" s="10" t="s">
        <v>50</v>
      </c>
      <c r="I177" s="10" t="s">
        <v>1185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33" t="s">
        <v>1676</v>
      </c>
      <c r="B178" s="10" t="s">
        <v>1677</v>
      </c>
      <c r="C178" s="10" t="s">
        <v>37</v>
      </c>
      <c r="D178" s="12" t="s">
        <v>65</v>
      </c>
      <c r="E178" s="10" t="s">
        <v>1678</v>
      </c>
      <c r="F178" s="10" t="s">
        <v>1679</v>
      </c>
      <c r="G178" s="10">
        <v>6152.0</v>
      </c>
      <c r="H178" s="10" t="s">
        <v>41</v>
      </c>
      <c r="I178" s="10" t="s">
        <v>1185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33" t="s">
        <v>1680</v>
      </c>
      <c r="B179" s="10" t="s">
        <v>1681</v>
      </c>
      <c r="C179" s="10" t="s">
        <v>15</v>
      </c>
      <c r="D179" s="12" t="s">
        <v>38</v>
      </c>
      <c r="E179" s="10" t="s">
        <v>1682</v>
      </c>
      <c r="F179" s="10" t="s">
        <v>1683</v>
      </c>
      <c r="G179" s="10">
        <v>2284.0</v>
      </c>
      <c r="H179" s="10" t="s">
        <v>50</v>
      </c>
      <c r="I179" s="10" t="s">
        <v>1185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36" t="s">
        <v>890</v>
      </c>
      <c r="B180" s="12" t="s">
        <v>891</v>
      </c>
      <c r="C180" s="10" t="s">
        <v>46</v>
      </c>
      <c r="D180" s="12" t="s">
        <v>65</v>
      </c>
      <c r="E180" s="12" t="s">
        <v>1269</v>
      </c>
      <c r="F180" s="12" t="s">
        <v>1270</v>
      </c>
      <c r="G180" s="12">
        <v>4660.0</v>
      </c>
      <c r="H180" s="12" t="s">
        <v>33</v>
      </c>
      <c r="I180" s="12" t="s">
        <v>1185</v>
      </c>
      <c r="J180" s="20"/>
      <c r="K180" s="12" t="s">
        <v>1684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>
      <c r="A181" s="33" t="s">
        <v>1685</v>
      </c>
      <c r="B181" s="10" t="s">
        <v>1686</v>
      </c>
      <c r="C181" s="10" t="s">
        <v>15</v>
      </c>
      <c r="D181" s="12" t="s">
        <v>47</v>
      </c>
      <c r="E181" s="10" t="s">
        <v>1687</v>
      </c>
      <c r="F181" s="10" t="s">
        <v>1688</v>
      </c>
      <c r="G181" s="10">
        <v>2147.0</v>
      </c>
      <c r="H181" s="10" t="s">
        <v>50</v>
      </c>
      <c r="I181" s="10" t="s">
        <v>1185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33" t="s">
        <v>1689</v>
      </c>
      <c r="B182" s="10" t="s">
        <v>1690</v>
      </c>
      <c r="C182" s="10" t="s">
        <v>46</v>
      </c>
      <c r="D182" s="12" t="s">
        <v>47</v>
      </c>
      <c r="E182" s="10" t="s">
        <v>1691</v>
      </c>
      <c r="F182" s="10" t="s">
        <v>1692</v>
      </c>
      <c r="G182" s="10">
        <v>2228.0</v>
      </c>
      <c r="H182" s="10" t="s">
        <v>50</v>
      </c>
      <c r="I182" s="10" t="s">
        <v>1185</v>
      </c>
      <c r="J182" s="11"/>
      <c r="K182" s="10" t="s">
        <v>1693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33" t="s">
        <v>1694</v>
      </c>
      <c r="B183" s="10" t="s">
        <v>1695</v>
      </c>
      <c r="C183" s="10" t="s">
        <v>46</v>
      </c>
      <c r="D183" s="12" t="s">
        <v>47</v>
      </c>
      <c r="E183" s="10" t="s">
        <v>1696</v>
      </c>
      <c r="F183" s="10" t="s">
        <v>1697</v>
      </c>
      <c r="G183" s="10">
        <v>4559.0</v>
      </c>
      <c r="H183" s="10" t="s">
        <v>33</v>
      </c>
      <c r="I183" s="10" t="s">
        <v>1185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33" t="s">
        <v>886</v>
      </c>
      <c r="B184" s="10" t="s">
        <v>887</v>
      </c>
      <c r="C184" s="20"/>
      <c r="D184" s="12" t="s">
        <v>38</v>
      </c>
      <c r="E184" s="10" t="s">
        <v>1374</v>
      </c>
      <c r="F184" s="10" t="s">
        <v>1375</v>
      </c>
      <c r="G184" s="10">
        <v>4051.0</v>
      </c>
      <c r="H184" s="10" t="s">
        <v>33</v>
      </c>
      <c r="I184" s="12" t="s">
        <v>1185</v>
      </c>
      <c r="J184" s="11"/>
      <c r="K184" s="10" t="s">
        <v>1698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33" t="s">
        <v>634</v>
      </c>
      <c r="B185" s="10" t="s">
        <v>1699</v>
      </c>
      <c r="C185" s="10" t="s">
        <v>46</v>
      </c>
      <c r="D185" s="12" t="s">
        <v>47</v>
      </c>
      <c r="E185" s="10" t="s">
        <v>1700</v>
      </c>
      <c r="F185" s="10" t="s">
        <v>637</v>
      </c>
      <c r="G185" s="10">
        <v>2257.0</v>
      </c>
      <c r="H185" s="10" t="s">
        <v>50</v>
      </c>
      <c r="I185" s="10" t="s">
        <v>1185</v>
      </c>
      <c r="J185" s="11"/>
      <c r="K185" s="1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33" t="s">
        <v>1701</v>
      </c>
      <c r="B186" s="10" t="s">
        <v>1702</v>
      </c>
      <c r="C186" s="10" t="s">
        <v>15</v>
      </c>
      <c r="D186" s="12" t="s">
        <v>47</v>
      </c>
      <c r="E186" s="10" t="s">
        <v>1703</v>
      </c>
      <c r="F186" s="10" t="s">
        <v>1704</v>
      </c>
      <c r="G186" s="10">
        <v>3820.0</v>
      </c>
      <c r="H186" s="10" t="s">
        <v>19</v>
      </c>
      <c r="I186" s="10" t="s">
        <v>1185</v>
      </c>
      <c r="J186" s="11"/>
      <c r="K186" s="1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33" t="s">
        <v>1705</v>
      </c>
      <c r="B187" s="10" t="s">
        <v>1706</v>
      </c>
      <c r="C187" s="10" t="s">
        <v>15</v>
      </c>
      <c r="D187" s="12" t="s">
        <v>54</v>
      </c>
      <c r="E187" s="10" t="s">
        <v>1707</v>
      </c>
      <c r="F187" s="10" t="s">
        <v>1708</v>
      </c>
      <c r="G187" s="10">
        <v>4226.0</v>
      </c>
      <c r="H187" s="10" t="s">
        <v>33</v>
      </c>
      <c r="I187" s="10" t="s">
        <v>1185</v>
      </c>
      <c r="J187" s="11"/>
      <c r="K187" s="1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33" t="s">
        <v>1709</v>
      </c>
      <c r="B188" s="10" t="s">
        <v>1710</v>
      </c>
      <c r="C188" s="10" t="s">
        <v>15</v>
      </c>
      <c r="D188" s="12" t="s">
        <v>47</v>
      </c>
      <c r="E188" s="10" t="s">
        <v>1711</v>
      </c>
      <c r="F188" s="10" t="s">
        <v>1708</v>
      </c>
      <c r="G188" s="10">
        <v>4226.0</v>
      </c>
      <c r="H188" s="10" t="s">
        <v>33</v>
      </c>
      <c r="I188" s="10" t="s">
        <v>1185</v>
      </c>
      <c r="J188" s="11"/>
      <c r="K188" s="10" t="s">
        <v>1712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33" t="s">
        <v>1713</v>
      </c>
      <c r="B189" s="10" t="s">
        <v>1714</v>
      </c>
      <c r="C189" s="10" t="s">
        <v>15</v>
      </c>
      <c r="D189" s="12" t="s">
        <v>47</v>
      </c>
      <c r="E189" s="10" t="s">
        <v>1715</v>
      </c>
      <c r="F189" s="10" t="s">
        <v>1716</v>
      </c>
      <c r="G189" s="10">
        <v>2228.0</v>
      </c>
      <c r="H189" s="10" t="s">
        <v>50</v>
      </c>
      <c r="I189" s="10" t="s">
        <v>1185</v>
      </c>
      <c r="J189" s="11"/>
      <c r="K189" s="1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33" t="s">
        <v>1717</v>
      </c>
      <c r="B190" s="10" t="s">
        <v>1718</v>
      </c>
      <c r="C190" s="10" t="s">
        <v>15</v>
      </c>
      <c r="D190" s="12" t="s">
        <v>47</v>
      </c>
      <c r="E190" s="10" t="s">
        <v>1719</v>
      </c>
      <c r="F190" s="10" t="s">
        <v>1720</v>
      </c>
      <c r="G190" s="10">
        <v>4212.0</v>
      </c>
      <c r="H190" s="10" t="s">
        <v>33</v>
      </c>
      <c r="I190" s="10" t="s">
        <v>1185</v>
      </c>
      <c r="J190" s="11"/>
      <c r="K190" s="1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33" t="s">
        <v>1721</v>
      </c>
      <c r="B191" s="10" t="s">
        <v>1722</v>
      </c>
      <c r="C191" s="10" t="s">
        <v>46</v>
      </c>
      <c r="D191" s="12" t="s">
        <v>38</v>
      </c>
      <c r="E191" s="10" t="s">
        <v>1723</v>
      </c>
      <c r="F191" s="10" t="s">
        <v>1724</v>
      </c>
      <c r="G191" s="10">
        <v>4123.0</v>
      </c>
      <c r="H191" s="10" t="s">
        <v>33</v>
      </c>
      <c r="I191" s="10" t="s">
        <v>1185</v>
      </c>
      <c r="J191" s="11"/>
      <c r="K191" s="1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96" t="s">
        <v>1725</v>
      </c>
      <c r="B192" s="92" t="s">
        <v>1726</v>
      </c>
      <c r="C192" s="93"/>
      <c r="D192" s="87" t="s">
        <v>65</v>
      </c>
      <c r="E192" s="92" t="s">
        <v>1727</v>
      </c>
      <c r="F192" s="92" t="s">
        <v>1728</v>
      </c>
      <c r="G192" s="92">
        <v>4006.0</v>
      </c>
      <c r="H192" s="92" t="s">
        <v>33</v>
      </c>
      <c r="I192" s="92" t="s">
        <v>1185</v>
      </c>
      <c r="J192" s="93"/>
      <c r="K192" s="92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</row>
    <row r="193">
      <c r="A193" s="33" t="s">
        <v>1729</v>
      </c>
      <c r="B193" s="10" t="s">
        <v>1730</v>
      </c>
      <c r="C193" s="11"/>
      <c r="D193" s="90" t="s">
        <v>1038</v>
      </c>
      <c r="E193" s="10" t="s">
        <v>1731</v>
      </c>
      <c r="F193" s="10" t="s">
        <v>1732</v>
      </c>
      <c r="G193" s="10">
        <v>6008.0</v>
      </c>
      <c r="H193" s="10" t="s">
        <v>41</v>
      </c>
      <c r="I193" s="10" t="s">
        <v>1185</v>
      </c>
      <c r="J193" s="11"/>
      <c r="K193" s="10" t="s">
        <v>1733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33" t="s">
        <v>1734</v>
      </c>
      <c r="B194" s="10" t="s">
        <v>1735</v>
      </c>
      <c r="C194" s="10" t="s">
        <v>37</v>
      </c>
      <c r="D194" s="90" t="s">
        <v>1736</v>
      </c>
      <c r="E194" s="10" t="s">
        <v>1737</v>
      </c>
      <c r="F194" s="10" t="s">
        <v>1738</v>
      </c>
      <c r="G194" s="10">
        <v>4227.0</v>
      </c>
      <c r="H194" s="10" t="s">
        <v>33</v>
      </c>
      <c r="I194" s="10" t="s">
        <v>1185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33" t="s">
        <v>1739</v>
      </c>
      <c r="B195" s="10" t="s">
        <v>1740</v>
      </c>
      <c r="C195" s="11"/>
      <c r="D195" s="97" t="s">
        <v>1038</v>
      </c>
      <c r="E195" s="10" t="s">
        <v>1741</v>
      </c>
      <c r="F195" s="10" t="s">
        <v>1742</v>
      </c>
      <c r="G195" s="10">
        <v>2750.0</v>
      </c>
      <c r="H195" s="10" t="s">
        <v>50</v>
      </c>
      <c r="I195" s="10" t="s">
        <v>1185</v>
      </c>
      <c r="J195" s="11"/>
      <c r="K195" s="10" t="s">
        <v>1743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33" t="s">
        <v>1744</v>
      </c>
      <c r="B196" s="10" t="s">
        <v>1745</v>
      </c>
      <c r="C196" s="11"/>
      <c r="D196" s="90" t="s">
        <v>1000</v>
      </c>
      <c r="E196" s="10" t="s">
        <v>1746</v>
      </c>
      <c r="F196" s="10" t="s">
        <v>1747</v>
      </c>
      <c r="G196" s="10">
        <v>2015.0</v>
      </c>
      <c r="H196" s="10" t="s">
        <v>50</v>
      </c>
      <c r="I196" s="10" t="s">
        <v>1185</v>
      </c>
      <c r="J196" s="11"/>
      <c r="K196" s="10" t="s">
        <v>1748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33" t="s">
        <v>1749</v>
      </c>
      <c r="B197" s="10" t="s">
        <v>1750</v>
      </c>
      <c r="C197" s="10" t="s">
        <v>15</v>
      </c>
      <c r="D197" s="90" t="s">
        <v>1751</v>
      </c>
      <c r="E197" s="10" t="s">
        <v>1752</v>
      </c>
      <c r="F197" s="10" t="s">
        <v>1753</v>
      </c>
      <c r="G197" s="10">
        <v>4509.0</v>
      </c>
      <c r="H197" s="10" t="s">
        <v>33</v>
      </c>
      <c r="I197" s="10" t="s">
        <v>1185</v>
      </c>
      <c r="J197" s="11"/>
      <c r="K197" s="10" t="s">
        <v>1754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33" t="s">
        <v>1755</v>
      </c>
      <c r="B198" s="10" t="s">
        <v>1756</v>
      </c>
      <c r="C198" s="10" t="s">
        <v>15</v>
      </c>
      <c r="D198" s="10" t="s">
        <v>1757</v>
      </c>
      <c r="E198" s="10" t="s">
        <v>1758</v>
      </c>
      <c r="F198" s="10" t="s">
        <v>1759</v>
      </c>
      <c r="G198" s="10">
        <v>2023.0</v>
      </c>
      <c r="H198" s="10" t="s">
        <v>50</v>
      </c>
      <c r="I198" s="10" t="s">
        <v>1185</v>
      </c>
      <c r="J198" s="11"/>
      <c r="K198" s="1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33" t="s">
        <v>1760</v>
      </c>
      <c r="B199" s="10" t="s">
        <v>1761</v>
      </c>
      <c r="C199" s="11"/>
      <c r="D199" s="12" t="s">
        <v>47</v>
      </c>
      <c r="E199" s="10" t="s">
        <v>1762</v>
      </c>
      <c r="F199" s="10" t="s">
        <v>1763</v>
      </c>
      <c r="G199" s="10">
        <v>4564.0</v>
      </c>
      <c r="H199" s="10" t="s">
        <v>33</v>
      </c>
      <c r="I199" s="10" t="s">
        <v>1185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33" t="s">
        <v>1764</v>
      </c>
      <c r="B200" s="10" t="s">
        <v>1765</v>
      </c>
      <c r="C200" s="10" t="s">
        <v>46</v>
      </c>
      <c r="D200" s="12" t="s">
        <v>47</v>
      </c>
      <c r="E200" s="10" t="s">
        <v>1766</v>
      </c>
      <c r="F200" s="10" t="s">
        <v>1767</v>
      </c>
      <c r="G200" s="10">
        <v>6005.0</v>
      </c>
      <c r="H200" s="10" t="s">
        <v>41</v>
      </c>
      <c r="I200" s="10" t="s">
        <v>20</v>
      </c>
      <c r="J200" s="11"/>
      <c r="K200" s="1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33" t="s">
        <v>1768</v>
      </c>
      <c r="B201" s="10" t="s">
        <v>1769</v>
      </c>
      <c r="C201" s="11"/>
      <c r="D201" s="12" t="s">
        <v>47</v>
      </c>
      <c r="E201" s="10" t="s">
        <v>1770</v>
      </c>
      <c r="F201" s="10" t="s">
        <v>1771</v>
      </c>
      <c r="G201" s="10">
        <v>4551.0</v>
      </c>
      <c r="H201" s="10" t="s">
        <v>33</v>
      </c>
      <c r="I201" s="10" t="s">
        <v>1185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33" t="s">
        <v>1772</v>
      </c>
      <c r="B202" s="10" t="s">
        <v>1773</v>
      </c>
      <c r="C202" s="10" t="s">
        <v>15</v>
      </c>
      <c r="D202" s="12" t="s">
        <v>47</v>
      </c>
      <c r="E202" s="10" t="s">
        <v>1774</v>
      </c>
      <c r="F202" s="10" t="s">
        <v>1775</v>
      </c>
      <c r="G202" s="10">
        <v>2020.0</v>
      </c>
      <c r="H202" s="10" t="s">
        <v>50</v>
      </c>
      <c r="I202" s="12" t="s">
        <v>1185</v>
      </c>
      <c r="J202" s="10" t="s">
        <v>1776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33" t="s">
        <v>1777</v>
      </c>
      <c r="B203" s="10" t="s">
        <v>1778</v>
      </c>
      <c r="C203" s="10" t="s">
        <v>15</v>
      </c>
      <c r="D203" s="10" t="s">
        <v>1779</v>
      </c>
      <c r="E203" s="10" t="s">
        <v>1780</v>
      </c>
      <c r="F203" s="10" t="s">
        <v>1781</v>
      </c>
      <c r="G203" s="10">
        <v>4000.0</v>
      </c>
      <c r="H203" s="10" t="s">
        <v>33</v>
      </c>
      <c r="I203" s="10" t="s">
        <v>1185</v>
      </c>
      <c r="J203" s="11"/>
      <c r="K203" s="98" t="s">
        <v>1782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33" t="s">
        <v>1783</v>
      </c>
      <c r="B204" s="10" t="s">
        <v>1784</v>
      </c>
      <c r="C204" s="11"/>
      <c r="D204" s="12" t="s">
        <v>38</v>
      </c>
      <c r="E204" s="10" t="s">
        <v>1785</v>
      </c>
      <c r="F204" s="10" t="s">
        <v>1786</v>
      </c>
      <c r="G204" s="10">
        <v>2285.0</v>
      </c>
      <c r="H204" s="10" t="s">
        <v>50</v>
      </c>
      <c r="I204" s="10" t="s">
        <v>20</v>
      </c>
      <c r="J204" s="10" t="s">
        <v>1787</v>
      </c>
      <c r="K204" s="10" t="s">
        <v>1788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33" t="s">
        <v>1789</v>
      </c>
      <c r="B205" s="10" t="s">
        <v>1790</v>
      </c>
      <c r="C205" s="10" t="s">
        <v>15</v>
      </c>
      <c r="D205" s="12" t="s">
        <v>47</v>
      </c>
      <c r="E205" s="10" t="s">
        <v>1791</v>
      </c>
      <c r="F205" s="10" t="s">
        <v>1792</v>
      </c>
      <c r="G205" s="10">
        <v>2300.0</v>
      </c>
      <c r="H205" s="10" t="s">
        <v>50</v>
      </c>
      <c r="I205" s="10" t="s">
        <v>20</v>
      </c>
      <c r="J205" s="10" t="s">
        <v>1793</v>
      </c>
      <c r="K205" s="1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33" t="s">
        <v>1794</v>
      </c>
      <c r="B206" s="10" t="s">
        <v>1795</v>
      </c>
      <c r="C206" s="10" t="s">
        <v>15</v>
      </c>
      <c r="D206" s="12" t="s">
        <v>47</v>
      </c>
      <c r="E206" s="10" t="s">
        <v>1796</v>
      </c>
      <c r="F206" s="10" t="s">
        <v>1797</v>
      </c>
      <c r="G206" s="10">
        <v>2289.0</v>
      </c>
      <c r="H206" s="10" t="s">
        <v>50</v>
      </c>
      <c r="I206" s="10" t="s">
        <v>20</v>
      </c>
      <c r="J206" s="10" t="s">
        <v>1798</v>
      </c>
      <c r="K206" s="1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33" t="s">
        <v>1799</v>
      </c>
      <c r="B207" s="10" t="s">
        <v>1800</v>
      </c>
      <c r="C207" s="10" t="s">
        <v>46</v>
      </c>
      <c r="D207" s="12" t="s">
        <v>47</v>
      </c>
      <c r="E207" s="10" t="s">
        <v>1801</v>
      </c>
      <c r="F207" s="10" t="s">
        <v>1802</v>
      </c>
      <c r="G207" s="10">
        <v>6010.0</v>
      </c>
      <c r="H207" s="10" t="s">
        <v>41</v>
      </c>
      <c r="I207" s="10" t="s">
        <v>20</v>
      </c>
      <c r="J207" s="10" t="s">
        <v>1803</v>
      </c>
      <c r="K207" s="1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36" t="s">
        <v>618</v>
      </c>
      <c r="B208" s="10" t="s">
        <v>1804</v>
      </c>
      <c r="C208" s="10" t="s">
        <v>46</v>
      </c>
      <c r="D208" s="12" t="s">
        <v>47</v>
      </c>
      <c r="E208" s="10" t="s">
        <v>620</v>
      </c>
      <c r="F208" s="10" t="s">
        <v>1704</v>
      </c>
      <c r="G208" s="10">
        <v>3820.0</v>
      </c>
      <c r="H208" s="10" t="s">
        <v>19</v>
      </c>
      <c r="I208" s="10" t="s">
        <v>20</v>
      </c>
      <c r="J208" s="10" t="s">
        <v>1805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36" t="s">
        <v>1806</v>
      </c>
      <c r="B209" s="10" t="s">
        <v>1807</v>
      </c>
      <c r="C209" s="11"/>
      <c r="D209" s="12" t="s">
        <v>47</v>
      </c>
      <c r="E209" s="10" t="s">
        <v>1808</v>
      </c>
      <c r="F209" s="10" t="s">
        <v>1347</v>
      </c>
      <c r="G209" s="10">
        <v>4107.0</v>
      </c>
      <c r="H209" s="10" t="s">
        <v>33</v>
      </c>
      <c r="I209" s="10" t="s">
        <v>20</v>
      </c>
      <c r="J209" s="10" t="s">
        <v>1809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36" t="s">
        <v>579</v>
      </c>
      <c r="B210" s="10" t="s">
        <v>580</v>
      </c>
      <c r="C210" s="10"/>
      <c r="D210" s="12" t="s">
        <v>65</v>
      </c>
      <c r="E210" s="10" t="s">
        <v>1810</v>
      </c>
      <c r="F210" s="10" t="s">
        <v>1811</v>
      </c>
      <c r="G210" s="10">
        <v>5114.0</v>
      </c>
      <c r="H210" s="10" t="s">
        <v>104</v>
      </c>
      <c r="I210" s="10" t="s">
        <v>20</v>
      </c>
      <c r="J210" s="10" t="s">
        <v>584</v>
      </c>
      <c r="K210" s="10" t="s">
        <v>1812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36" t="s">
        <v>1813</v>
      </c>
      <c r="B211" s="10" t="s">
        <v>1814</v>
      </c>
      <c r="C211" s="11"/>
      <c r="D211" s="12" t="s">
        <v>47</v>
      </c>
      <c r="E211" s="10" t="s">
        <v>1815</v>
      </c>
      <c r="F211" s="10" t="s">
        <v>1816</v>
      </c>
      <c r="G211" s="10">
        <v>3006.0</v>
      </c>
      <c r="H211" s="10" t="s">
        <v>19</v>
      </c>
      <c r="I211" s="10" t="s">
        <v>20</v>
      </c>
      <c r="J211" s="10" t="s">
        <v>1817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37" t="s">
        <v>1241</v>
      </c>
      <c r="B212" s="23" t="s">
        <v>1818</v>
      </c>
      <c r="C212" s="23" t="s">
        <v>37</v>
      </c>
      <c r="D212" s="12" t="s">
        <v>47</v>
      </c>
      <c r="E212" s="23" t="s">
        <v>1243</v>
      </c>
      <c r="F212" s="23" t="s">
        <v>1244</v>
      </c>
      <c r="G212" s="23">
        <v>2146.0</v>
      </c>
      <c r="H212" s="23" t="s">
        <v>50</v>
      </c>
      <c r="I212" s="10" t="s">
        <v>20</v>
      </c>
      <c r="J212" s="23" t="s">
        <v>1819</v>
      </c>
      <c r="K212" s="23" t="s">
        <v>1820</v>
      </c>
      <c r="L212" s="24"/>
      <c r="M212" s="24"/>
      <c r="N212" s="24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>
      <c r="A213" s="37" t="s">
        <v>1821</v>
      </c>
      <c r="B213" s="23" t="s">
        <v>1822</v>
      </c>
      <c r="C213" s="23" t="s">
        <v>46</v>
      </c>
      <c r="D213" s="12" t="s">
        <v>47</v>
      </c>
      <c r="E213" s="23" t="s">
        <v>1823</v>
      </c>
      <c r="F213" s="23" t="s">
        <v>1824</v>
      </c>
      <c r="G213" s="23">
        <v>4740.0</v>
      </c>
      <c r="H213" s="23" t="s">
        <v>33</v>
      </c>
      <c r="I213" s="10" t="s">
        <v>20</v>
      </c>
      <c r="J213" s="23" t="s">
        <v>1825</v>
      </c>
      <c r="K213" s="23"/>
      <c r="L213" s="24"/>
      <c r="M213" s="24"/>
      <c r="N213" s="24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>
      <c r="A214" s="36" t="s">
        <v>1826</v>
      </c>
      <c r="B214" s="10" t="s">
        <v>1827</v>
      </c>
      <c r="C214" s="10" t="s">
        <v>46</v>
      </c>
      <c r="D214" s="12" t="s">
        <v>38</v>
      </c>
      <c r="E214" s="10" t="s">
        <v>1828</v>
      </c>
      <c r="F214" s="10" t="s">
        <v>1829</v>
      </c>
      <c r="G214" s="10">
        <v>2234.0</v>
      </c>
      <c r="H214" s="10" t="s">
        <v>50</v>
      </c>
      <c r="I214" s="10" t="s">
        <v>20</v>
      </c>
      <c r="J214" s="10" t="s">
        <v>1830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36" t="s">
        <v>1831</v>
      </c>
      <c r="B215" s="10" t="s">
        <v>1832</v>
      </c>
      <c r="C215" s="10" t="s">
        <v>15</v>
      </c>
      <c r="D215" s="12" t="s">
        <v>47</v>
      </c>
      <c r="E215" s="10" t="s">
        <v>1833</v>
      </c>
      <c r="F215" s="10" t="s">
        <v>1834</v>
      </c>
      <c r="G215" s="10">
        <v>2016.0</v>
      </c>
      <c r="H215" s="10" t="s">
        <v>50</v>
      </c>
      <c r="I215" s="10" t="s">
        <v>20</v>
      </c>
      <c r="J215" s="10" t="s">
        <v>1835</v>
      </c>
      <c r="K215" s="10" t="s">
        <v>1836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36" t="s">
        <v>1837</v>
      </c>
      <c r="B216" s="10" t="s">
        <v>1838</v>
      </c>
      <c r="C216" s="10" t="s">
        <v>15</v>
      </c>
      <c r="D216" s="12" t="s">
        <v>47</v>
      </c>
      <c r="E216" s="10" t="s">
        <v>1839</v>
      </c>
      <c r="F216" s="10" t="s">
        <v>1840</v>
      </c>
      <c r="G216" s="10">
        <v>2102.0</v>
      </c>
      <c r="H216" s="10" t="s">
        <v>50</v>
      </c>
      <c r="I216" s="10" t="s">
        <v>20</v>
      </c>
      <c r="J216" s="10" t="s">
        <v>1841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33" t="s">
        <v>1488</v>
      </c>
      <c r="B217" s="10" t="s">
        <v>1489</v>
      </c>
      <c r="C217" s="10"/>
      <c r="D217" s="10" t="s">
        <v>1842</v>
      </c>
      <c r="E217" s="10" t="s">
        <v>1490</v>
      </c>
      <c r="F217" s="10" t="s">
        <v>1491</v>
      </c>
      <c r="G217" s="10">
        <v>5343.0</v>
      </c>
      <c r="H217" s="10" t="s">
        <v>104</v>
      </c>
      <c r="I217" s="10" t="s">
        <v>20</v>
      </c>
      <c r="J217" s="10" t="s">
        <v>1843</v>
      </c>
      <c r="K217" s="10" t="s">
        <v>1844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36" t="s">
        <v>513</v>
      </c>
      <c r="B218" s="10" t="s">
        <v>514</v>
      </c>
      <c r="C218" s="10" t="s">
        <v>15</v>
      </c>
      <c r="D218" s="12" t="s">
        <v>54</v>
      </c>
      <c r="E218" s="10" t="s">
        <v>515</v>
      </c>
      <c r="F218" s="10" t="s">
        <v>516</v>
      </c>
      <c r="G218" s="10">
        <v>6210.0</v>
      </c>
      <c r="H218" s="10" t="s">
        <v>41</v>
      </c>
      <c r="I218" s="10" t="s">
        <v>20</v>
      </c>
      <c r="J218" s="10" t="s">
        <v>517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36" t="s">
        <v>1845</v>
      </c>
      <c r="B219" s="10" t="s">
        <v>1846</v>
      </c>
      <c r="C219" s="10" t="s">
        <v>300</v>
      </c>
      <c r="D219" s="12" t="s">
        <v>47</v>
      </c>
      <c r="E219" s="10" t="s">
        <v>1847</v>
      </c>
      <c r="F219" s="10" t="s">
        <v>1848</v>
      </c>
      <c r="G219" s="10">
        <v>2291.0</v>
      </c>
      <c r="H219" s="10" t="s">
        <v>50</v>
      </c>
      <c r="I219" s="10" t="s">
        <v>20</v>
      </c>
      <c r="J219" s="10" t="s">
        <v>1849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36" t="s">
        <v>1850</v>
      </c>
      <c r="B220" s="12" t="s">
        <v>1851</v>
      </c>
      <c r="C220" s="20"/>
      <c r="D220" s="12" t="s">
        <v>54</v>
      </c>
      <c r="E220" s="12" t="s">
        <v>1852</v>
      </c>
      <c r="F220" s="12" t="s">
        <v>1853</v>
      </c>
      <c r="G220" s="12">
        <v>4207.0</v>
      </c>
      <c r="H220" s="12" t="s">
        <v>33</v>
      </c>
      <c r="I220" s="12" t="s">
        <v>20</v>
      </c>
      <c r="J220" s="12" t="s">
        <v>1854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>
      <c r="A221" s="36" t="s">
        <v>1855</v>
      </c>
      <c r="B221" s="12" t="s">
        <v>1856</v>
      </c>
      <c r="C221" s="12" t="s">
        <v>15</v>
      </c>
      <c r="D221" s="12" t="s">
        <v>47</v>
      </c>
      <c r="E221" s="12" t="s">
        <v>1857</v>
      </c>
      <c r="F221" s="12" t="s">
        <v>1858</v>
      </c>
      <c r="G221" s="12">
        <v>4152.0</v>
      </c>
      <c r="H221" s="12" t="s">
        <v>33</v>
      </c>
      <c r="I221" s="12" t="s">
        <v>20</v>
      </c>
      <c r="J221" s="12" t="s">
        <v>1859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>
      <c r="A222" s="36" t="s">
        <v>903</v>
      </c>
      <c r="B222" s="12" t="s">
        <v>904</v>
      </c>
      <c r="C222" s="12" t="s">
        <v>46</v>
      </c>
      <c r="D222" s="12" t="s">
        <v>47</v>
      </c>
      <c r="E222" s="12" t="s">
        <v>1860</v>
      </c>
      <c r="F222" s="12" t="s">
        <v>1708</v>
      </c>
      <c r="G222" s="12">
        <v>4226.0</v>
      </c>
      <c r="H222" s="12" t="s">
        <v>33</v>
      </c>
      <c r="I222" s="12" t="s">
        <v>20</v>
      </c>
      <c r="J222" s="12" t="s">
        <v>1861</v>
      </c>
      <c r="K222" s="12" t="s">
        <v>1862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>
      <c r="A223" s="36" t="s">
        <v>1863</v>
      </c>
      <c r="B223" s="12" t="s">
        <v>1864</v>
      </c>
      <c r="C223" s="20"/>
      <c r="D223" s="12" t="s">
        <v>47</v>
      </c>
      <c r="E223" s="12" t="s">
        <v>1865</v>
      </c>
      <c r="F223" s="12" t="s">
        <v>1708</v>
      </c>
      <c r="G223" s="12">
        <v>4226.0</v>
      </c>
      <c r="H223" s="12" t="s">
        <v>33</v>
      </c>
      <c r="I223" s="12" t="s">
        <v>20</v>
      </c>
      <c r="J223" s="12" t="s">
        <v>1866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>
      <c r="A224" s="36" t="s">
        <v>1867</v>
      </c>
      <c r="B224" s="12" t="s">
        <v>630</v>
      </c>
      <c r="C224" s="12" t="s">
        <v>15</v>
      </c>
      <c r="D224" s="12" t="s">
        <v>65</v>
      </c>
      <c r="E224" s="12" t="s">
        <v>1868</v>
      </c>
      <c r="F224" s="12" t="s">
        <v>632</v>
      </c>
      <c r="G224" s="12">
        <v>4218.0</v>
      </c>
      <c r="H224" s="12" t="s">
        <v>33</v>
      </c>
      <c r="I224" s="12" t="s">
        <v>20</v>
      </c>
      <c r="J224" s="12" t="s">
        <v>633</v>
      </c>
      <c r="K224" s="12" t="s">
        <v>1869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>
      <c r="A225" s="33" t="s">
        <v>1870</v>
      </c>
      <c r="B225" s="10" t="s">
        <v>1871</v>
      </c>
      <c r="C225" s="12" t="s">
        <v>15</v>
      </c>
      <c r="D225" s="10" t="s">
        <v>38</v>
      </c>
      <c r="E225" s="10" t="s">
        <v>1872</v>
      </c>
      <c r="F225" s="10" t="s">
        <v>1873</v>
      </c>
      <c r="G225" s="10">
        <v>2035.0</v>
      </c>
      <c r="H225" s="10" t="s">
        <v>50</v>
      </c>
      <c r="I225" s="10" t="s">
        <v>20</v>
      </c>
      <c r="J225" s="10" t="s">
        <v>1874</v>
      </c>
      <c r="K225" s="1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36" t="s">
        <v>1875</v>
      </c>
      <c r="B226" s="12" t="s">
        <v>1876</v>
      </c>
      <c r="C226" s="12" t="s">
        <v>15</v>
      </c>
      <c r="D226" s="12" t="s">
        <v>47</v>
      </c>
      <c r="E226" s="12" t="s">
        <v>1877</v>
      </c>
      <c r="F226" s="12" t="s">
        <v>1878</v>
      </c>
      <c r="G226" s="12">
        <v>820.0</v>
      </c>
      <c r="H226" s="12" t="s">
        <v>1879</v>
      </c>
      <c r="I226" s="12" t="s">
        <v>20</v>
      </c>
      <c r="J226" s="12" t="s">
        <v>1880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>
      <c r="A227" s="33" t="s">
        <v>897</v>
      </c>
      <c r="B227" s="10" t="s">
        <v>898</v>
      </c>
      <c r="C227" s="11"/>
      <c r="D227" s="10" t="s">
        <v>1881</v>
      </c>
      <c r="E227" s="10" t="s">
        <v>1882</v>
      </c>
      <c r="F227" s="10" t="s">
        <v>1883</v>
      </c>
      <c r="G227" s="10">
        <v>3169.0</v>
      </c>
      <c r="H227" s="10" t="s">
        <v>19</v>
      </c>
      <c r="I227" s="10" t="s">
        <v>20</v>
      </c>
      <c r="J227" s="10" t="s">
        <v>1884</v>
      </c>
      <c r="K227" s="10" t="s">
        <v>1885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36" t="s">
        <v>1886</v>
      </c>
      <c r="B228" s="12" t="s">
        <v>1887</v>
      </c>
      <c r="C228" s="12" t="s">
        <v>15</v>
      </c>
      <c r="D228" s="10" t="s">
        <v>1881</v>
      </c>
      <c r="E228" s="12" t="s">
        <v>1888</v>
      </c>
      <c r="F228" s="12" t="s">
        <v>1889</v>
      </c>
      <c r="G228" s="12">
        <v>2023.0</v>
      </c>
      <c r="H228" s="12" t="s">
        <v>50</v>
      </c>
      <c r="I228" s="12" t="s">
        <v>20</v>
      </c>
      <c r="J228" s="12" t="s">
        <v>1890</v>
      </c>
      <c r="K228" s="12" t="s">
        <v>1891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>
      <c r="A229" s="36" t="s">
        <v>1892</v>
      </c>
      <c r="B229" s="12" t="s">
        <v>1893</v>
      </c>
      <c r="C229" s="20"/>
      <c r="D229" s="12" t="s">
        <v>1894</v>
      </c>
      <c r="E229" s="12" t="s">
        <v>1895</v>
      </c>
      <c r="F229" s="12" t="s">
        <v>1896</v>
      </c>
      <c r="G229" s="12">
        <v>3182.0</v>
      </c>
      <c r="H229" s="12" t="s">
        <v>19</v>
      </c>
      <c r="I229" s="12" t="s">
        <v>20</v>
      </c>
      <c r="J229" s="12" t="s">
        <v>1897</v>
      </c>
      <c r="K229" s="12" t="s">
        <v>1898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>
      <c r="A230" s="33" t="s">
        <v>1899</v>
      </c>
      <c r="B230" s="10" t="s">
        <v>1900</v>
      </c>
      <c r="C230" s="11"/>
      <c r="D230" s="12" t="s">
        <v>47</v>
      </c>
      <c r="E230" s="10" t="s">
        <v>1901</v>
      </c>
      <c r="F230" s="10" t="s">
        <v>1902</v>
      </c>
      <c r="G230" s="10">
        <v>3193.0</v>
      </c>
      <c r="H230" s="10" t="s">
        <v>19</v>
      </c>
      <c r="I230" s="10" t="s">
        <v>20</v>
      </c>
      <c r="J230" s="10" t="s">
        <v>1903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33" t="s">
        <v>1904</v>
      </c>
      <c r="B231" s="10" t="s">
        <v>1905</v>
      </c>
      <c r="C231" s="10" t="s">
        <v>46</v>
      </c>
      <c r="D231" s="12" t="s">
        <v>47</v>
      </c>
      <c r="E231" s="10" t="s">
        <v>1906</v>
      </c>
      <c r="F231" s="10" t="s">
        <v>1907</v>
      </c>
      <c r="G231" s="10">
        <v>4221.0</v>
      </c>
      <c r="H231" s="10" t="s">
        <v>33</v>
      </c>
      <c r="I231" s="10" t="s">
        <v>20</v>
      </c>
      <c r="J231" s="10" t="s">
        <v>1908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36" t="s">
        <v>1909</v>
      </c>
      <c r="B232" s="12" t="s">
        <v>1910</v>
      </c>
      <c r="C232" s="12" t="s">
        <v>15</v>
      </c>
      <c r="D232" s="12" t="s">
        <v>47</v>
      </c>
      <c r="E232" s="12" t="s">
        <v>1911</v>
      </c>
      <c r="F232" s="12" t="s">
        <v>1912</v>
      </c>
      <c r="G232" s="12">
        <v>5051.0</v>
      </c>
      <c r="H232" s="12" t="s">
        <v>104</v>
      </c>
      <c r="I232" s="12" t="s">
        <v>20</v>
      </c>
      <c r="J232" s="12" t="s">
        <v>1913</v>
      </c>
      <c r="K232" s="12" t="s">
        <v>1914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>
      <c r="A233" s="33" t="s">
        <v>1915</v>
      </c>
      <c r="B233" s="10" t="s">
        <v>122</v>
      </c>
      <c r="C233" s="10" t="s">
        <v>15</v>
      </c>
      <c r="D233" s="12" t="s">
        <v>47</v>
      </c>
      <c r="E233" s="10" t="s">
        <v>1916</v>
      </c>
      <c r="F233" s="10" t="s">
        <v>1917</v>
      </c>
      <c r="G233" s="10">
        <v>4575.0</v>
      </c>
      <c r="H233" s="10" t="s">
        <v>33</v>
      </c>
      <c r="I233" s="10" t="s">
        <v>20</v>
      </c>
      <c r="J233" s="10" t="s">
        <v>1918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33" t="s">
        <v>1919</v>
      </c>
      <c r="B234" s="10" t="s">
        <v>1920</v>
      </c>
      <c r="C234" s="11"/>
      <c r="D234" s="10" t="s">
        <v>38</v>
      </c>
      <c r="E234" s="10" t="s">
        <v>1921</v>
      </c>
      <c r="F234" s="10" t="s">
        <v>1922</v>
      </c>
      <c r="G234" s="10">
        <v>6163.0</v>
      </c>
      <c r="H234" s="10" t="s">
        <v>41</v>
      </c>
      <c r="I234" s="10" t="s">
        <v>20</v>
      </c>
      <c r="J234" s="10" t="s">
        <v>1923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33" t="s">
        <v>901</v>
      </c>
      <c r="B235" s="10" t="s">
        <v>1924</v>
      </c>
      <c r="C235" s="11"/>
      <c r="D235" s="12" t="s">
        <v>65</v>
      </c>
      <c r="E235" s="10" t="s">
        <v>1925</v>
      </c>
      <c r="F235" s="10" t="s">
        <v>1926</v>
      </c>
      <c r="G235" s="10">
        <v>4075.0</v>
      </c>
      <c r="H235" s="10" t="s">
        <v>33</v>
      </c>
      <c r="I235" s="10" t="s">
        <v>20</v>
      </c>
      <c r="J235" s="10" t="s">
        <v>1927</v>
      </c>
      <c r="K235" s="10" t="s">
        <v>1928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99" t="s">
        <v>1929</v>
      </c>
      <c r="B236" s="10" t="s">
        <v>1930</v>
      </c>
      <c r="C236" s="10" t="s">
        <v>15</v>
      </c>
      <c r="D236" s="10" t="s">
        <v>54</v>
      </c>
      <c r="E236" s="10" t="s">
        <v>1931</v>
      </c>
      <c r="F236" s="10" t="s">
        <v>1590</v>
      </c>
      <c r="G236" s="10">
        <v>4220.0</v>
      </c>
      <c r="H236" s="10" t="s">
        <v>33</v>
      </c>
      <c r="I236" s="10" t="s">
        <v>20</v>
      </c>
      <c r="J236" s="10" t="s">
        <v>1932</v>
      </c>
      <c r="K236" s="10" t="s">
        <v>1933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99" t="s">
        <v>1934</v>
      </c>
      <c r="B237" s="10" t="s">
        <v>1935</v>
      </c>
      <c r="C237" s="10" t="s">
        <v>46</v>
      </c>
      <c r="D237" s="12" t="s">
        <v>65</v>
      </c>
      <c r="E237" s="10" t="s">
        <v>1936</v>
      </c>
      <c r="F237" s="10" t="s">
        <v>1937</v>
      </c>
      <c r="G237" s="10">
        <v>2100.0</v>
      </c>
      <c r="H237" s="10" t="s">
        <v>50</v>
      </c>
      <c r="I237" s="10" t="s">
        <v>20</v>
      </c>
      <c r="J237" s="10" t="s">
        <v>1938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99" t="s">
        <v>1939</v>
      </c>
      <c r="B238" s="10" t="s">
        <v>1940</v>
      </c>
      <c r="C238" s="10" t="s">
        <v>15</v>
      </c>
      <c r="D238" s="10" t="s">
        <v>1881</v>
      </c>
      <c r="E238" s="10" t="s">
        <v>1941</v>
      </c>
      <c r="F238" s="10" t="s">
        <v>1942</v>
      </c>
      <c r="G238" s="10">
        <v>4051.0</v>
      </c>
      <c r="H238" s="10" t="s">
        <v>33</v>
      </c>
      <c r="I238" s="10" t="s">
        <v>20</v>
      </c>
      <c r="J238" s="10" t="s">
        <v>1943</v>
      </c>
      <c r="K238" s="10" t="s">
        <v>1944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99" t="s">
        <v>1945</v>
      </c>
      <c r="B239" s="10" t="s">
        <v>1946</v>
      </c>
      <c r="C239" s="11"/>
      <c r="D239" s="10" t="s">
        <v>1947</v>
      </c>
      <c r="E239" s="10" t="s">
        <v>1948</v>
      </c>
      <c r="F239" s="10" t="s">
        <v>1449</v>
      </c>
      <c r="G239" s="10">
        <v>5251.0</v>
      </c>
      <c r="H239" s="10" t="s">
        <v>104</v>
      </c>
      <c r="I239" s="10" t="s">
        <v>20</v>
      </c>
      <c r="J239" s="10" t="s">
        <v>1949</v>
      </c>
      <c r="K239" s="10" t="s">
        <v>1944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36" t="s">
        <v>890</v>
      </c>
      <c r="B240" s="12" t="s">
        <v>891</v>
      </c>
      <c r="C240" s="10" t="s">
        <v>15</v>
      </c>
      <c r="D240" s="12" t="s">
        <v>54</v>
      </c>
      <c r="E240" s="12" t="s">
        <v>1269</v>
      </c>
      <c r="F240" s="12" t="s">
        <v>1270</v>
      </c>
      <c r="G240" s="12">
        <v>4660.0</v>
      </c>
      <c r="H240" s="12" t="s">
        <v>33</v>
      </c>
      <c r="I240" s="12" t="s">
        <v>20</v>
      </c>
      <c r="J240" s="12" t="s">
        <v>1950</v>
      </c>
      <c r="K240" s="12" t="s">
        <v>1951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>
      <c r="A241" s="36" t="s">
        <v>893</v>
      </c>
      <c r="B241" s="12" t="s">
        <v>894</v>
      </c>
      <c r="C241" s="12"/>
      <c r="D241" s="10" t="s">
        <v>38</v>
      </c>
      <c r="E241" s="12" t="s">
        <v>1372</v>
      </c>
      <c r="F241" s="12" t="s">
        <v>1373</v>
      </c>
      <c r="G241" s="12">
        <v>2153.0</v>
      </c>
      <c r="H241" s="12" t="s">
        <v>50</v>
      </c>
      <c r="I241" s="12" t="s">
        <v>20</v>
      </c>
      <c r="J241" s="12" t="s">
        <v>1952</v>
      </c>
      <c r="K241" s="12" t="s">
        <v>1951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>
      <c r="A242" s="37" t="s">
        <v>895</v>
      </c>
      <c r="B242" s="23" t="s">
        <v>896</v>
      </c>
      <c r="C242" s="23"/>
      <c r="D242" s="12" t="s">
        <v>65</v>
      </c>
      <c r="E242" s="23" t="s">
        <v>1953</v>
      </c>
      <c r="F242" s="23" t="s">
        <v>1954</v>
      </c>
      <c r="G242" s="23">
        <v>3688.0</v>
      </c>
      <c r="H242" s="23" t="s">
        <v>19</v>
      </c>
      <c r="I242" s="23" t="s">
        <v>20</v>
      </c>
      <c r="J242" s="23" t="s">
        <v>1955</v>
      </c>
      <c r="K242" s="23" t="s">
        <v>996</v>
      </c>
      <c r="L242" s="23"/>
      <c r="M242" s="24"/>
      <c r="N242" s="24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>
      <c r="A243" s="36" t="s">
        <v>903</v>
      </c>
      <c r="B243" s="12" t="s">
        <v>904</v>
      </c>
      <c r="C243" s="12" t="s">
        <v>37</v>
      </c>
      <c r="D243" s="12" t="s">
        <v>54</v>
      </c>
      <c r="E243" s="12" t="s">
        <v>1860</v>
      </c>
      <c r="F243" s="12" t="s">
        <v>1708</v>
      </c>
      <c r="G243" s="12">
        <v>4226.0</v>
      </c>
      <c r="H243" s="12" t="s">
        <v>33</v>
      </c>
      <c r="I243" s="12" t="s">
        <v>20</v>
      </c>
      <c r="J243" s="12" t="s">
        <v>1861</v>
      </c>
      <c r="K243" s="12" t="s">
        <v>1956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>
      <c r="A244" s="33" t="s">
        <v>899</v>
      </c>
      <c r="B244" s="10" t="s">
        <v>900</v>
      </c>
      <c r="C244" s="11"/>
      <c r="D244" s="12" t="s">
        <v>65</v>
      </c>
      <c r="E244" s="10" t="s">
        <v>1639</v>
      </c>
      <c r="F244" s="10" t="s">
        <v>1640</v>
      </c>
      <c r="G244" s="10">
        <v>3805.0</v>
      </c>
      <c r="H244" s="10" t="s">
        <v>19</v>
      </c>
      <c r="I244" s="10" t="s">
        <v>20</v>
      </c>
      <c r="J244" s="10" t="s">
        <v>1957</v>
      </c>
      <c r="K244" s="12" t="s">
        <v>1956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33" t="s">
        <v>1511</v>
      </c>
      <c r="B245" s="10" t="s">
        <v>1512</v>
      </c>
      <c r="C245" s="10" t="s">
        <v>37</v>
      </c>
      <c r="D245" s="10" t="s">
        <v>38</v>
      </c>
      <c r="E245" s="10" t="s">
        <v>1513</v>
      </c>
      <c r="F245" s="10" t="s">
        <v>1514</v>
      </c>
      <c r="G245" s="10">
        <v>4053.0</v>
      </c>
      <c r="H245" s="10" t="s">
        <v>33</v>
      </c>
      <c r="I245" s="10" t="s">
        <v>20</v>
      </c>
      <c r="J245" s="10" t="s">
        <v>1958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0" t="s">
        <v>454</v>
      </c>
      <c r="B246" s="10" t="s">
        <v>455</v>
      </c>
      <c r="C246" s="10"/>
      <c r="D246" s="10" t="s">
        <v>456</v>
      </c>
      <c r="E246" s="10" t="s">
        <v>457</v>
      </c>
      <c r="F246" s="10" t="s">
        <v>458</v>
      </c>
      <c r="G246" s="10">
        <v>6019.0</v>
      </c>
      <c r="H246" s="10" t="s">
        <v>41</v>
      </c>
      <c r="I246" s="10" t="s">
        <v>20</v>
      </c>
      <c r="J246" s="10" t="s">
        <v>459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23"/>
      <c r="B259" s="23"/>
      <c r="C259" s="23"/>
      <c r="D259" s="12"/>
      <c r="E259" s="23"/>
      <c r="F259" s="23"/>
      <c r="G259" s="23"/>
      <c r="H259" s="23"/>
      <c r="I259" s="23"/>
      <c r="J259" s="23"/>
      <c r="K259" s="23"/>
      <c r="L259" s="23"/>
      <c r="M259" s="24"/>
      <c r="N259" s="24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>
      <c r="A260" s="10"/>
      <c r="B260" s="10"/>
      <c r="C260" s="11"/>
      <c r="D260" s="10"/>
      <c r="E260" s="10"/>
      <c r="F260" s="10"/>
      <c r="G260" s="10"/>
      <c r="H260" s="10"/>
      <c r="I260" s="10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00" t="s">
        <v>649</v>
      </c>
      <c r="B261" s="10"/>
      <c r="C261" s="11"/>
      <c r="D261" s="10"/>
      <c r="E261" s="10"/>
      <c r="F261" s="10"/>
      <c r="G261" s="10"/>
      <c r="H261" s="10"/>
      <c r="I261" s="10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84" t="s">
        <v>655</v>
      </c>
      <c r="B262" s="12" t="s">
        <v>656</v>
      </c>
      <c r="C262" s="12" t="s">
        <v>15</v>
      </c>
      <c r="D262" s="97" t="s">
        <v>1959</v>
      </c>
      <c r="E262" s="12" t="s">
        <v>1960</v>
      </c>
      <c r="F262" s="12" t="s">
        <v>1961</v>
      </c>
      <c r="G262" s="12">
        <v>4010.0</v>
      </c>
      <c r="H262" s="12" t="s">
        <v>1962</v>
      </c>
      <c r="I262" s="12" t="s">
        <v>659</v>
      </c>
      <c r="J262" s="20"/>
      <c r="K262" s="12" t="s">
        <v>1963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>
      <c r="A263" s="84" t="s">
        <v>1964</v>
      </c>
      <c r="B263" s="12" t="s">
        <v>1965</v>
      </c>
      <c r="C263" s="12" t="s">
        <v>15</v>
      </c>
      <c r="D263" s="97" t="s">
        <v>1059</v>
      </c>
      <c r="E263" s="12" t="s">
        <v>1966</v>
      </c>
      <c r="F263" s="12" t="s">
        <v>1967</v>
      </c>
      <c r="G263" s="12">
        <v>3110.0</v>
      </c>
      <c r="H263" s="101" t="s">
        <v>1968</v>
      </c>
      <c r="I263" s="12" t="s">
        <v>659</v>
      </c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>
      <c r="A264" s="84" t="s">
        <v>394</v>
      </c>
      <c r="B264" s="12" t="s">
        <v>650</v>
      </c>
      <c r="C264" s="12" t="s">
        <v>46</v>
      </c>
      <c r="D264" s="12" t="s">
        <v>983</v>
      </c>
      <c r="E264" s="12" t="s">
        <v>1969</v>
      </c>
      <c r="F264" s="12" t="s">
        <v>1970</v>
      </c>
      <c r="G264" s="12" t="s">
        <v>1971</v>
      </c>
      <c r="H264" s="12" t="s">
        <v>399</v>
      </c>
      <c r="I264" s="12" t="s">
        <v>437</v>
      </c>
      <c r="J264" s="20"/>
      <c r="K264" s="12" t="s">
        <v>1972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>
      <c r="A265" s="84" t="s">
        <v>1973</v>
      </c>
      <c r="B265" s="12" t="s">
        <v>1974</v>
      </c>
      <c r="C265" s="12" t="s">
        <v>15</v>
      </c>
      <c r="D265" s="12" t="s">
        <v>472</v>
      </c>
      <c r="E265" s="12" t="s">
        <v>1975</v>
      </c>
      <c r="F265" s="12" t="s">
        <v>436</v>
      </c>
      <c r="G265" s="12">
        <v>75204.0</v>
      </c>
      <c r="H265" s="12" t="s">
        <v>399</v>
      </c>
      <c r="I265" s="12" t="s">
        <v>437</v>
      </c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>
      <c r="A266" s="84" t="s">
        <v>1976</v>
      </c>
      <c r="B266" s="29" t="s">
        <v>1977</v>
      </c>
      <c r="C266" s="20"/>
      <c r="D266" s="12" t="s">
        <v>1173</v>
      </c>
      <c r="E266" s="12" t="s">
        <v>1978</v>
      </c>
      <c r="F266" s="12" t="s">
        <v>1979</v>
      </c>
      <c r="G266" s="12">
        <v>5011.0</v>
      </c>
      <c r="H266" s="12"/>
      <c r="I266" s="12" t="s">
        <v>659</v>
      </c>
      <c r="J266" s="20"/>
      <c r="K266" s="12" t="s">
        <v>1980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>
      <c r="A267" s="63" t="s">
        <v>1981</v>
      </c>
      <c r="B267" s="23" t="s">
        <v>1982</v>
      </c>
      <c r="C267" s="23" t="s">
        <v>1016</v>
      </c>
      <c r="D267" s="23" t="s">
        <v>472</v>
      </c>
      <c r="E267" s="23" t="s">
        <v>1983</v>
      </c>
      <c r="F267" s="23" t="s">
        <v>1984</v>
      </c>
      <c r="G267" s="23">
        <v>932.0</v>
      </c>
      <c r="H267" s="23" t="s">
        <v>667</v>
      </c>
      <c r="I267" s="23" t="s">
        <v>659</v>
      </c>
      <c r="J267" s="24"/>
      <c r="K267" s="24"/>
      <c r="L267" s="20"/>
      <c r="M267" s="24"/>
      <c r="N267" s="24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>
      <c r="A268" s="63" t="s">
        <v>1985</v>
      </c>
      <c r="B268" s="23" t="s">
        <v>1986</v>
      </c>
      <c r="C268" s="23" t="s">
        <v>15</v>
      </c>
      <c r="D268" s="23" t="s">
        <v>472</v>
      </c>
      <c r="E268" s="23" t="s">
        <v>1987</v>
      </c>
      <c r="F268" s="23" t="s">
        <v>1988</v>
      </c>
      <c r="G268" s="23">
        <v>5019.0</v>
      </c>
      <c r="H268" s="23" t="s">
        <v>716</v>
      </c>
      <c r="I268" s="23" t="s">
        <v>659</v>
      </c>
      <c r="J268" s="24"/>
      <c r="K268" s="24"/>
      <c r="L268" s="20"/>
      <c r="M268" s="24"/>
      <c r="N268" s="24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>
      <c r="A269" s="63" t="s">
        <v>1989</v>
      </c>
      <c r="B269" s="23" t="s">
        <v>1990</v>
      </c>
      <c r="C269" s="24"/>
      <c r="D269" s="23" t="s">
        <v>472</v>
      </c>
      <c r="E269" s="23" t="s">
        <v>1991</v>
      </c>
      <c r="F269" s="23" t="s">
        <v>1992</v>
      </c>
      <c r="G269" s="23" t="s">
        <v>1993</v>
      </c>
      <c r="H269" s="23" t="s">
        <v>1994</v>
      </c>
      <c r="I269" s="23" t="s">
        <v>659</v>
      </c>
      <c r="J269" s="24"/>
      <c r="K269" s="24"/>
      <c r="L269" s="24"/>
      <c r="M269" s="24"/>
      <c r="N269" s="24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>
      <c r="A270" s="63" t="s">
        <v>1995</v>
      </c>
      <c r="B270" s="23" t="s">
        <v>1996</v>
      </c>
      <c r="C270" s="23" t="s">
        <v>15</v>
      </c>
      <c r="D270" s="23" t="s">
        <v>1997</v>
      </c>
      <c r="E270" s="23" t="s">
        <v>1998</v>
      </c>
      <c r="F270" s="23" t="s">
        <v>1999</v>
      </c>
      <c r="G270" s="23" t="s">
        <v>2000</v>
      </c>
      <c r="H270" s="101" t="s">
        <v>2001</v>
      </c>
      <c r="I270" s="23" t="s">
        <v>796</v>
      </c>
      <c r="J270" s="24"/>
      <c r="K270" s="24"/>
      <c r="L270" s="20"/>
      <c r="M270" s="24"/>
      <c r="N270" s="24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>
      <c r="A271" s="63" t="s">
        <v>2002</v>
      </c>
      <c r="B271" s="23" t="s">
        <v>2003</v>
      </c>
      <c r="C271" s="23" t="s">
        <v>15</v>
      </c>
      <c r="D271" s="23" t="s">
        <v>935</v>
      </c>
      <c r="E271" s="23" t="s">
        <v>2004</v>
      </c>
      <c r="F271" s="101" t="s">
        <v>2005</v>
      </c>
      <c r="G271" s="101" t="s">
        <v>2006</v>
      </c>
      <c r="H271" s="101" t="s">
        <v>2001</v>
      </c>
      <c r="I271" s="23" t="s">
        <v>796</v>
      </c>
      <c r="J271" s="24"/>
      <c r="K271" s="24"/>
      <c r="L271" s="20"/>
      <c r="M271" s="24"/>
      <c r="N271" s="24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>
      <c r="A272" s="84" t="s">
        <v>2007</v>
      </c>
      <c r="B272" s="23" t="s">
        <v>2008</v>
      </c>
      <c r="C272" s="23" t="s">
        <v>15</v>
      </c>
      <c r="D272" s="23" t="s">
        <v>935</v>
      </c>
      <c r="E272" s="23" t="s">
        <v>2009</v>
      </c>
      <c r="F272" s="23" t="s">
        <v>2005</v>
      </c>
      <c r="G272" s="23" t="s">
        <v>2010</v>
      </c>
      <c r="H272" s="12" t="s">
        <v>2001</v>
      </c>
      <c r="I272" s="23" t="s">
        <v>796</v>
      </c>
      <c r="J272" s="24"/>
      <c r="K272" s="23" t="s">
        <v>2011</v>
      </c>
      <c r="L272" s="24"/>
      <c r="M272" s="24"/>
      <c r="N272" s="24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>
      <c r="A273" s="84" t="s">
        <v>884</v>
      </c>
      <c r="B273" s="12" t="s">
        <v>885</v>
      </c>
      <c r="C273" s="12" t="s">
        <v>37</v>
      </c>
      <c r="D273" s="12" t="s">
        <v>935</v>
      </c>
      <c r="E273" s="12" t="s">
        <v>2012</v>
      </c>
      <c r="F273" s="12" t="s">
        <v>2013</v>
      </c>
      <c r="G273" s="12" t="s">
        <v>2014</v>
      </c>
      <c r="H273" s="12" t="s">
        <v>2001</v>
      </c>
      <c r="I273" s="12" t="s">
        <v>796</v>
      </c>
      <c r="J273" s="20"/>
      <c r="K273" s="12" t="s">
        <v>2015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>
      <c r="A274" s="63" t="s">
        <v>2016</v>
      </c>
      <c r="B274" s="23" t="s">
        <v>2017</v>
      </c>
      <c r="C274" s="23" t="s">
        <v>15</v>
      </c>
      <c r="D274" s="23" t="s">
        <v>935</v>
      </c>
      <c r="E274" s="23" t="s">
        <v>2018</v>
      </c>
      <c r="F274" s="23" t="s">
        <v>2019</v>
      </c>
      <c r="G274" s="23">
        <v>44240.0</v>
      </c>
      <c r="H274" s="23" t="s">
        <v>2020</v>
      </c>
      <c r="I274" s="23" t="s">
        <v>437</v>
      </c>
      <c r="J274" s="23" t="s">
        <v>2021</v>
      </c>
      <c r="K274" s="24"/>
      <c r="L274" s="24"/>
      <c r="M274" s="24"/>
      <c r="N274" s="24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>
      <c r="A275" s="84" t="s">
        <v>2022</v>
      </c>
      <c r="B275" s="12" t="s">
        <v>2023</v>
      </c>
      <c r="C275" s="12" t="s">
        <v>37</v>
      </c>
      <c r="D275" s="23" t="s">
        <v>472</v>
      </c>
      <c r="E275" s="12" t="s">
        <v>2024</v>
      </c>
      <c r="F275" s="12" t="s">
        <v>2025</v>
      </c>
      <c r="G275" s="12">
        <v>77379.0</v>
      </c>
      <c r="H275" s="12" t="s">
        <v>399</v>
      </c>
      <c r="I275" s="12" t="s">
        <v>437</v>
      </c>
      <c r="J275" s="20"/>
      <c r="K275" s="12" t="s">
        <v>2026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>
      <c r="A276" s="89" t="s">
        <v>2027</v>
      </c>
      <c r="B276" s="10" t="s">
        <v>2028</v>
      </c>
      <c r="C276" s="10" t="s">
        <v>46</v>
      </c>
      <c r="D276" s="10" t="s">
        <v>1054</v>
      </c>
      <c r="E276" s="10" t="s">
        <v>2029</v>
      </c>
      <c r="F276" s="10" t="s">
        <v>2030</v>
      </c>
      <c r="G276" s="10" t="s">
        <v>2031</v>
      </c>
      <c r="H276" s="10"/>
      <c r="I276" s="10" t="s">
        <v>230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84" t="s">
        <v>2032</v>
      </c>
      <c r="B277" s="12" t="s">
        <v>2033</v>
      </c>
      <c r="C277" s="20"/>
      <c r="D277" s="23" t="s">
        <v>472</v>
      </c>
      <c r="E277" s="12" t="s">
        <v>2034</v>
      </c>
      <c r="F277" s="12" t="s">
        <v>2035</v>
      </c>
      <c r="G277" s="12">
        <v>8005.0</v>
      </c>
      <c r="H277" s="12" t="s">
        <v>2036</v>
      </c>
      <c r="I277" s="12" t="s">
        <v>2037</v>
      </c>
      <c r="J277" s="20"/>
      <c r="K277" s="12" t="s">
        <v>2038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>
      <c r="A278" s="86" t="s">
        <v>2039</v>
      </c>
      <c r="B278" s="87" t="s">
        <v>2040</v>
      </c>
      <c r="C278" s="82"/>
      <c r="D278" s="102" t="s">
        <v>1000</v>
      </c>
      <c r="E278" s="87" t="s">
        <v>2041</v>
      </c>
      <c r="F278" s="87" t="s">
        <v>2042</v>
      </c>
      <c r="G278" s="87">
        <v>3800.0</v>
      </c>
      <c r="H278" s="82"/>
      <c r="I278" s="87" t="s">
        <v>659</v>
      </c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</row>
    <row r="279">
      <c r="A279" s="84" t="s">
        <v>2043</v>
      </c>
      <c r="B279" s="12" t="s">
        <v>2044</v>
      </c>
      <c r="C279" s="12" t="s">
        <v>15</v>
      </c>
      <c r="D279" s="97" t="s">
        <v>1059</v>
      </c>
      <c r="E279" s="12" t="s">
        <v>2045</v>
      </c>
      <c r="F279" s="12" t="s">
        <v>2046</v>
      </c>
      <c r="G279" s="12">
        <v>3118.0</v>
      </c>
      <c r="H279" s="20"/>
      <c r="I279" s="12" t="s">
        <v>659</v>
      </c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>
      <c r="A280" s="63" t="s">
        <v>2047</v>
      </c>
      <c r="B280" s="23" t="s">
        <v>2048</v>
      </c>
      <c r="C280" s="24"/>
      <c r="D280" s="97" t="s">
        <v>1000</v>
      </c>
      <c r="E280" s="23" t="s">
        <v>2049</v>
      </c>
      <c r="F280" s="103" t="s">
        <v>2050</v>
      </c>
      <c r="G280" s="23">
        <v>632.0</v>
      </c>
      <c r="H280" s="23" t="s">
        <v>667</v>
      </c>
      <c r="I280" s="12" t="s">
        <v>659</v>
      </c>
      <c r="J280" s="24"/>
      <c r="K280" s="24"/>
      <c r="L280" s="20"/>
      <c r="M280" s="24"/>
      <c r="N280" s="24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>
      <c r="A281" s="89" t="s">
        <v>2051</v>
      </c>
      <c r="B281" s="10" t="s">
        <v>2052</v>
      </c>
      <c r="C281" s="10" t="s">
        <v>15</v>
      </c>
      <c r="D281" s="90" t="s">
        <v>1000</v>
      </c>
      <c r="E281" s="10" t="s">
        <v>2053</v>
      </c>
      <c r="F281" s="10" t="s">
        <v>2054</v>
      </c>
      <c r="G281" s="10">
        <v>4310.0</v>
      </c>
      <c r="H281" s="11"/>
      <c r="I281" s="10" t="s">
        <v>659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84" t="s">
        <v>2055</v>
      </c>
      <c r="B282" s="12" t="s">
        <v>2056</v>
      </c>
      <c r="C282" s="20"/>
      <c r="D282" s="97" t="s">
        <v>2057</v>
      </c>
      <c r="E282" s="12" t="s">
        <v>2058</v>
      </c>
      <c r="F282" s="12" t="s">
        <v>430</v>
      </c>
      <c r="G282" s="12">
        <v>4310.0</v>
      </c>
      <c r="H282" s="20"/>
      <c r="I282" s="12" t="s">
        <v>659</v>
      </c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>
      <c r="A283" s="84" t="s">
        <v>2059</v>
      </c>
      <c r="B283" s="12" t="s">
        <v>2060</v>
      </c>
      <c r="C283" s="20"/>
      <c r="D283" s="97" t="s">
        <v>1736</v>
      </c>
      <c r="E283" s="12" t="s">
        <v>2061</v>
      </c>
      <c r="F283" s="12" t="s">
        <v>2062</v>
      </c>
      <c r="G283" s="12">
        <v>4674.0</v>
      </c>
      <c r="H283" s="20"/>
      <c r="I283" s="12" t="s">
        <v>659</v>
      </c>
      <c r="J283" s="20"/>
      <c r="K283" s="12" t="s">
        <v>2063</v>
      </c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>
      <c r="A284" s="84" t="s">
        <v>2064</v>
      </c>
      <c r="B284" s="12" t="s">
        <v>2065</v>
      </c>
      <c r="C284" s="20"/>
      <c r="D284" s="97" t="s">
        <v>2066</v>
      </c>
      <c r="E284" s="12" t="s">
        <v>2067</v>
      </c>
      <c r="F284" s="12" t="s">
        <v>2068</v>
      </c>
      <c r="G284" s="12">
        <v>5713.0</v>
      </c>
      <c r="H284" s="20"/>
      <c r="I284" s="12" t="s">
        <v>659</v>
      </c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>
      <c r="A285" s="84" t="s">
        <v>2069</v>
      </c>
      <c r="B285" s="12" t="s">
        <v>2070</v>
      </c>
      <c r="C285" s="12" t="s">
        <v>15</v>
      </c>
      <c r="D285" s="97" t="s">
        <v>1038</v>
      </c>
      <c r="E285" s="12" t="s">
        <v>2071</v>
      </c>
      <c r="F285" s="12" t="s">
        <v>2072</v>
      </c>
      <c r="G285" s="12">
        <v>3400.0</v>
      </c>
      <c r="H285" s="20"/>
      <c r="I285" s="12" t="s">
        <v>659</v>
      </c>
      <c r="J285" s="20"/>
      <c r="K285" s="12" t="s">
        <v>2073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>
      <c r="A286" s="84" t="s">
        <v>2074</v>
      </c>
      <c r="B286" s="12" t="s">
        <v>2075</v>
      </c>
      <c r="C286" s="12" t="s">
        <v>300</v>
      </c>
      <c r="D286" s="97" t="s">
        <v>1038</v>
      </c>
      <c r="E286" s="12" t="s">
        <v>2076</v>
      </c>
      <c r="F286" s="12" t="s">
        <v>2077</v>
      </c>
      <c r="G286" s="12">
        <v>920.0</v>
      </c>
      <c r="H286" s="12" t="s">
        <v>667</v>
      </c>
      <c r="I286" s="12" t="s">
        <v>659</v>
      </c>
      <c r="J286" s="20"/>
      <c r="K286" s="12" t="s">
        <v>2078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>
      <c r="A287" s="84" t="s">
        <v>2079</v>
      </c>
      <c r="B287" s="12" t="s">
        <v>2080</v>
      </c>
      <c r="C287" s="20"/>
      <c r="D287" s="97" t="s">
        <v>1214</v>
      </c>
      <c r="E287" s="12" t="s">
        <v>2081</v>
      </c>
      <c r="F287" s="12" t="s">
        <v>2082</v>
      </c>
      <c r="G287" s="12">
        <v>1051.0</v>
      </c>
      <c r="H287" s="12" t="s">
        <v>667</v>
      </c>
      <c r="I287" s="12" t="s">
        <v>659</v>
      </c>
      <c r="J287" s="20"/>
      <c r="K287" s="12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>
      <c r="A288" s="84" t="s">
        <v>2083</v>
      </c>
      <c r="B288" s="12" t="s">
        <v>2084</v>
      </c>
      <c r="C288" s="20"/>
      <c r="D288" s="97" t="s">
        <v>1059</v>
      </c>
      <c r="E288" s="12" t="s">
        <v>2085</v>
      </c>
      <c r="F288" s="12" t="s">
        <v>2042</v>
      </c>
      <c r="G288" s="12">
        <v>3800.0</v>
      </c>
      <c r="H288" s="12"/>
      <c r="I288" s="12" t="s">
        <v>659</v>
      </c>
      <c r="J288" s="20"/>
      <c r="K288" s="12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>
      <c r="A289" s="84" t="s">
        <v>655</v>
      </c>
      <c r="B289" s="12" t="s">
        <v>656</v>
      </c>
      <c r="C289" s="12"/>
      <c r="D289" s="12" t="s">
        <v>2086</v>
      </c>
      <c r="E289" s="12" t="s">
        <v>1960</v>
      </c>
      <c r="F289" s="12" t="s">
        <v>1961</v>
      </c>
      <c r="G289" s="12">
        <v>4010.0</v>
      </c>
      <c r="H289" s="12" t="s">
        <v>1962</v>
      </c>
      <c r="I289" s="12" t="s">
        <v>659</v>
      </c>
      <c r="J289" s="20"/>
      <c r="K289" s="12" t="s">
        <v>2087</v>
      </c>
      <c r="L289" s="12" t="s">
        <v>662</v>
      </c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>
      <c r="A290" s="84" t="s">
        <v>394</v>
      </c>
      <c r="B290" s="12" t="s">
        <v>650</v>
      </c>
      <c r="C290" s="12" t="s">
        <v>46</v>
      </c>
      <c r="D290" s="12" t="s">
        <v>935</v>
      </c>
      <c r="E290" s="12" t="s">
        <v>652</v>
      </c>
      <c r="F290" s="12" t="s">
        <v>398</v>
      </c>
      <c r="G290" s="12">
        <v>78040.0</v>
      </c>
      <c r="H290" s="12" t="s">
        <v>653</v>
      </c>
      <c r="I290" s="12" t="s">
        <v>400</v>
      </c>
      <c r="J290" s="20"/>
      <c r="K290" s="12" t="s">
        <v>2088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>
      <c r="A291" s="84" t="s">
        <v>2089</v>
      </c>
      <c r="B291" s="12" t="s">
        <v>2090</v>
      </c>
      <c r="C291" s="12" t="s">
        <v>15</v>
      </c>
      <c r="D291" s="12" t="s">
        <v>935</v>
      </c>
      <c r="E291" s="12" t="s">
        <v>2091</v>
      </c>
      <c r="F291" s="12" t="s">
        <v>2092</v>
      </c>
      <c r="G291" s="12">
        <v>57000.0</v>
      </c>
      <c r="H291" s="12" t="s">
        <v>2093</v>
      </c>
      <c r="I291" s="12" t="s">
        <v>2094</v>
      </c>
      <c r="J291" s="20"/>
      <c r="K291" s="12" t="s">
        <v>2095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>
      <c r="A292" s="84" t="s">
        <v>2096</v>
      </c>
      <c r="B292" s="12" t="s">
        <v>2097</v>
      </c>
      <c r="C292" s="12" t="s">
        <v>37</v>
      </c>
      <c r="D292" s="12" t="s">
        <v>472</v>
      </c>
      <c r="E292" s="12" t="s">
        <v>2098</v>
      </c>
      <c r="F292" s="12" t="s">
        <v>2099</v>
      </c>
      <c r="G292" s="12">
        <v>84043.0</v>
      </c>
      <c r="H292" s="12" t="s">
        <v>2100</v>
      </c>
      <c r="I292" s="12" t="s">
        <v>400</v>
      </c>
      <c r="J292" s="20"/>
      <c r="K292" s="12" t="s">
        <v>1327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>
      <c r="A293" s="84" t="s">
        <v>2101</v>
      </c>
      <c r="B293" s="12" t="s">
        <v>2102</v>
      </c>
      <c r="C293" s="12" t="s">
        <v>15</v>
      </c>
      <c r="D293" s="12" t="s">
        <v>472</v>
      </c>
      <c r="E293" s="12" t="s">
        <v>2103</v>
      </c>
      <c r="F293" s="12" t="s">
        <v>2104</v>
      </c>
      <c r="G293" s="12">
        <v>91401.0</v>
      </c>
      <c r="H293" s="12" t="s">
        <v>2105</v>
      </c>
      <c r="I293" s="12" t="s">
        <v>400</v>
      </c>
      <c r="J293" s="20"/>
      <c r="K293" s="12" t="s">
        <v>2106</v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>
      <c r="A294" s="84" t="s">
        <v>2107</v>
      </c>
      <c r="B294" s="12" t="s">
        <v>2108</v>
      </c>
      <c r="C294" s="20"/>
      <c r="D294" s="12" t="s">
        <v>472</v>
      </c>
      <c r="E294" s="12" t="s">
        <v>2109</v>
      </c>
      <c r="F294" s="12" t="s">
        <v>2110</v>
      </c>
      <c r="G294" s="12">
        <v>8041.0</v>
      </c>
      <c r="H294" s="12" t="s">
        <v>2111</v>
      </c>
      <c r="I294" s="12" t="s">
        <v>408</v>
      </c>
      <c r="J294" s="20"/>
      <c r="K294" s="12" t="s">
        <v>2112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>
      <c r="A295" s="84" t="s">
        <v>2113</v>
      </c>
      <c r="B295" s="12" t="s">
        <v>2114</v>
      </c>
      <c r="C295" s="20"/>
      <c r="D295" s="12" t="s">
        <v>472</v>
      </c>
      <c r="E295" s="12" t="s">
        <v>2115</v>
      </c>
      <c r="F295" s="12" t="s">
        <v>2116</v>
      </c>
      <c r="G295" s="12">
        <v>622.0</v>
      </c>
      <c r="H295" s="12" t="s">
        <v>667</v>
      </c>
      <c r="I295" s="12" t="s">
        <v>408</v>
      </c>
      <c r="J295" s="20"/>
      <c r="K295" s="12" t="s">
        <v>2117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>
      <c r="A296" s="84" t="s">
        <v>888</v>
      </c>
      <c r="B296" s="12" t="s">
        <v>889</v>
      </c>
      <c r="C296" s="12" t="s">
        <v>300</v>
      </c>
      <c r="D296" s="12" t="s">
        <v>472</v>
      </c>
      <c r="E296" s="12" t="s">
        <v>2118</v>
      </c>
      <c r="F296" s="20"/>
      <c r="G296" s="12" t="s">
        <v>2119</v>
      </c>
      <c r="H296" s="12" t="s">
        <v>324</v>
      </c>
      <c r="I296" s="12" t="s">
        <v>2120</v>
      </c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>
      <c r="A297" s="89" t="s">
        <v>2121</v>
      </c>
      <c r="B297" s="10" t="s">
        <v>2122</v>
      </c>
      <c r="C297" s="10" t="s">
        <v>15</v>
      </c>
      <c r="D297" s="10" t="s">
        <v>472</v>
      </c>
      <c r="E297" s="10" t="s">
        <v>2123</v>
      </c>
      <c r="F297" s="10" t="s">
        <v>2124</v>
      </c>
      <c r="G297" s="10" t="s">
        <v>2125</v>
      </c>
      <c r="H297" s="10" t="s">
        <v>2126</v>
      </c>
      <c r="I297" s="10" t="s">
        <v>2120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84" t="s">
        <v>2127</v>
      </c>
      <c r="B298" s="12" t="s">
        <v>2128</v>
      </c>
      <c r="C298" s="12" t="s">
        <v>1016</v>
      </c>
      <c r="D298" s="12" t="s">
        <v>983</v>
      </c>
      <c r="E298" s="12" t="s">
        <v>2129</v>
      </c>
      <c r="F298" s="12" t="s">
        <v>2130</v>
      </c>
      <c r="G298" s="12">
        <v>23454.0</v>
      </c>
      <c r="H298" s="12" t="s">
        <v>2131</v>
      </c>
      <c r="I298" s="12" t="s">
        <v>400</v>
      </c>
      <c r="J298" s="20"/>
      <c r="K298" s="12" t="s">
        <v>2132</v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>
      <c r="A299" s="84" t="s">
        <v>2133</v>
      </c>
      <c r="B299" s="12" t="s">
        <v>2134</v>
      </c>
      <c r="C299" s="12" t="s">
        <v>15</v>
      </c>
      <c r="D299" s="12" t="s">
        <v>472</v>
      </c>
      <c r="E299" s="12" t="s">
        <v>2135</v>
      </c>
      <c r="F299" s="12" t="s">
        <v>2136</v>
      </c>
      <c r="G299" s="12">
        <v>7030.0</v>
      </c>
      <c r="H299" s="12" t="s">
        <v>2137</v>
      </c>
      <c r="I299" s="12" t="s">
        <v>400</v>
      </c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>
      <c r="A300" s="84" t="s">
        <v>2138</v>
      </c>
      <c r="B300" s="12" t="s">
        <v>2139</v>
      </c>
      <c r="C300" s="12" t="s">
        <v>37</v>
      </c>
      <c r="D300" s="12" t="s">
        <v>472</v>
      </c>
      <c r="E300" s="12" t="s">
        <v>2140</v>
      </c>
      <c r="F300" s="12" t="s">
        <v>2141</v>
      </c>
      <c r="G300" s="12">
        <v>6030.0</v>
      </c>
      <c r="H300" s="12" t="s">
        <v>2142</v>
      </c>
      <c r="I300" s="12" t="s">
        <v>2037</v>
      </c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>
      <c r="A301" s="84" t="s">
        <v>2143</v>
      </c>
      <c r="B301" s="12" t="s">
        <v>2144</v>
      </c>
      <c r="C301" s="20"/>
      <c r="D301" s="12" t="s">
        <v>1054</v>
      </c>
      <c r="E301" s="12" t="s">
        <v>2145</v>
      </c>
      <c r="F301" s="12" t="s">
        <v>2146</v>
      </c>
      <c r="G301" s="12">
        <v>78641.0</v>
      </c>
      <c r="H301" s="12" t="s">
        <v>399</v>
      </c>
      <c r="I301" s="12" t="s">
        <v>400</v>
      </c>
      <c r="J301" s="104" t="s">
        <v>2147</v>
      </c>
      <c r="K301" s="12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>
      <c r="A302" s="36" t="s">
        <v>2148</v>
      </c>
      <c r="B302" s="12" t="s">
        <v>2149</v>
      </c>
      <c r="C302" s="12" t="s">
        <v>37</v>
      </c>
      <c r="D302" s="12" t="s">
        <v>47</v>
      </c>
      <c r="E302" s="12" t="s">
        <v>2150</v>
      </c>
      <c r="F302" s="12" t="s">
        <v>1509</v>
      </c>
      <c r="G302" s="12">
        <v>33130.0</v>
      </c>
      <c r="H302" s="12" t="s">
        <v>2151</v>
      </c>
      <c r="I302" s="12" t="s">
        <v>400</v>
      </c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>
      <c r="A303" s="36" t="s">
        <v>2152</v>
      </c>
      <c r="B303" s="12" t="s">
        <v>2153</v>
      </c>
      <c r="C303" s="20"/>
      <c r="D303" s="12" t="s">
        <v>47</v>
      </c>
      <c r="E303" s="12" t="s">
        <v>2154</v>
      </c>
      <c r="F303" s="12" t="s">
        <v>2155</v>
      </c>
      <c r="G303" s="12">
        <v>93105.0</v>
      </c>
      <c r="H303" s="12" t="s">
        <v>722</v>
      </c>
      <c r="I303" s="12" t="s">
        <v>400</v>
      </c>
      <c r="J303" s="20"/>
      <c r="K303" s="12" t="s">
        <v>2156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>
      <c r="A304" s="36" t="s">
        <v>2157</v>
      </c>
      <c r="B304" s="12" t="s">
        <v>2158</v>
      </c>
      <c r="C304" s="20"/>
      <c r="D304" s="12" t="s">
        <v>47</v>
      </c>
      <c r="E304" s="12" t="s">
        <v>2159</v>
      </c>
      <c r="F304" s="12" t="s">
        <v>2160</v>
      </c>
      <c r="G304" s="12">
        <v>5032.0</v>
      </c>
      <c r="H304" s="12" t="s">
        <v>716</v>
      </c>
      <c r="I304" s="12" t="s">
        <v>408</v>
      </c>
      <c r="J304" s="12" t="s">
        <v>2161</v>
      </c>
      <c r="K304" s="12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>
      <c r="A305" s="36" t="s">
        <v>2162</v>
      </c>
      <c r="B305" s="12" t="s">
        <v>2163</v>
      </c>
      <c r="C305" s="12" t="s">
        <v>15</v>
      </c>
      <c r="D305" s="12" t="s">
        <v>47</v>
      </c>
      <c r="E305" s="12" t="s">
        <v>2164</v>
      </c>
      <c r="F305" s="12" t="s">
        <v>721</v>
      </c>
      <c r="G305" s="12">
        <v>90254.0</v>
      </c>
      <c r="H305" s="12" t="s">
        <v>722</v>
      </c>
      <c r="I305" s="12" t="s">
        <v>400</v>
      </c>
      <c r="J305" s="12" t="s">
        <v>2165</v>
      </c>
      <c r="K305" s="12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>
      <c r="A306" s="36" t="s">
        <v>2166</v>
      </c>
      <c r="B306" s="12" t="s">
        <v>2167</v>
      </c>
      <c r="C306" s="20"/>
      <c r="D306" s="12" t="s">
        <v>47</v>
      </c>
      <c r="E306" s="12" t="s">
        <v>2168</v>
      </c>
      <c r="F306" s="12" t="s">
        <v>2169</v>
      </c>
      <c r="G306" s="12">
        <v>98408.0</v>
      </c>
      <c r="H306" s="12" t="s">
        <v>41</v>
      </c>
      <c r="I306" s="12" t="s">
        <v>400</v>
      </c>
      <c r="J306" s="10" t="s">
        <v>2170</v>
      </c>
      <c r="K306" s="12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>
      <c r="A307" s="36" t="s">
        <v>2171</v>
      </c>
      <c r="B307" s="12" t="s">
        <v>2172</v>
      </c>
      <c r="C307" s="12" t="s">
        <v>15</v>
      </c>
      <c r="D307" s="12" t="s">
        <v>54</v>
      </c>
      <c r="E307" s="12" t="s">
        <v>2173</v>
      </c>
      <c r="F307" s="12" t="s">
        <v>2174</v>
      </c>
      <c r="G307" s="12">
        <v>630.0</v>
      </c>
      <c r="H307" s="12" t="s">
        <v>667</v>
      </c>
      <c r="I307" s="12" t="s">
        <v>408</v>
      </c>
      <c r="J307" s="10" t="s">
        <v>2175</v>
      </c>
      <c r="K307" s="12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>
      <c r="A308" s="36" t="s">
        <v>2176</v>
      </c>
      <c r="B308" s="12" t="s">
        <v>2177</v>
      </c>
      <c r="C308" s="20"/>
      <c r="D308" s="12" t="s">
        <v>47</v>
      </c>
      <c r="E308" s="12" t="s">
        <v>2178</v>
      </c>
      <c r="F308" s="12" t="s">
        <v>2179</v>
      </c>
      <c r="G308" s="12">
        <v>11727.0</v>
      </c>
      <c r="H308" s="12" t="s">
        <v>2180</v>
      </c>
      <c r="I308" s="12" t="s">
        <v>400</v>
      </c>
      <c r="J308" s="10" t="s">
        <v>2181</v>
      </c>
      <c r="K308" s="12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>
      <c r="A309" s="36" t="s">
        <v>2182</v>
      </c>
      <c r="B309" s="12" t="s">
        <v>2183</v>
      </c>
      <c r="C309" s="20"/>
      <c r="D309" s="12" t="s">
        <v>2184</v>
      </c>
      <c r="E309" s="12" t="s">
        <v>2185</v>
      </c>
      <c r="F309" s="12" t="s">
        <v>2186</v>
      </c>
      <c r="G309" s="12">
        <v>1068.0</v>
      </c>
      <c r="H309" s="12" t="s">
        <v>2187</v>
      </c>
      <c r="I309" s="12" t="s">
        <v>2188</v>
      </c>
      <c r="J309" s="12" t="s">
        <v>2189</v>
      </c>
      <c r="K309" s="12" t="s">
        <v>2190</v>
      </c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>
      <c r="A310" s="36" t="s">
        <v>2191</v>
      </c>
      <c r="B310" s="12" t="s">
        <v>2192</v>
      </c>
      <c r="C310" s="20"/>
      <c r="D310" s="12" t="s">
        <v>2184</v>
      </c>
      <c r="E310" s="12" t="s">
        <v>2193</v>
      </c>
      <c r="F310" s="12" t="s">
        <v>2194</v>
      </c>
      <c r="G310" s="12">
        <v>3283.0</v>
      </c>
      <c r="H310" s="12" t="s">
        <v>2195</v>
      </c>
      <c r="I310" s="12" t="s">
        <v>408</v>
      </c>
      <c r="J310" s="12" t="s">
        <v>2196</v>
      </c>
      <c r="K310" s="12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>
      <c r="A311" s="36" t="s">
        <v>2197</v>
      </c>
      <c r="B311" s="10" t="s">
        <v>2198</v>
      </c>
      <c r="C311" s="11"/>
      <c r="D311" s="97" t="s">
        <v>2199</v>
      </c>
      <c r="E311" s="10" t="s">
        <v>2200</v>
      </c>
      <c r="F311" s="10" t="s">
        <v>2201</v>
      </c>
      <c r="G311" s="10">
        <v>3204.0</v>
      </c>
      <c r="H311" s="10" t="s">
        <v>2195</v>
      </c>
      <c r="I311" s="10" t="s">
        <v>659</v>
      </c>
      <c r="J311" s="10" t="s">
        <v>2202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36" t="s">
        <v>2203</v>
      </c>
      <c r="B312" s="10" t="s">
        <v>2204</v>
      </c>
      <c r="C312" s="11"/>
      <c r="D312" s="12" t="s">
        <v>47</v>
      </c>
      <c r="E312" s="10" t="s">
        <v>2205</v>
      </c>
      <c r="F312" s="10" t="s">
        <v>2206</v>
      </c>
      <c r="G312" s="10">
        <v>6037.0</v>
      </c>
      <c r="H312" s="10" t="s">
        <v>716</v>
      </c>
      <c r="I312" s="10" t="s">
        <v>659</v>
      </c>
      <c r="J312" s="10" t="s">
        <v>2207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36" t="s">
        <v>2208</v>
      </c>
      <c r="B313" s="12" t="s">
        <v>2209</v>
      </c>
      <c r="C313" s="12" t="s">
        <v>15</v>
      </c>
      <c r="D313" s="12" t="s">
        <v>1842</v>
      </c>
      <c r="E313" s="12" t="s">
        <v>2210</v>
      </c>
      <c r="F313" s="12" t="s">
        <v>2211</v>
      </c>
      <c r="G313" s="12">
        <v>629.0</v>
      </c>
      <c r="H313" s="12" t="s">
        <v>667</v>
      </c>
      <c r="I313" s="12" t="s">
        <v>659</v>
      </c>
      <c r="J313" s="12" t="s">
        <v>2212</v>
      </c>
      <c r="K313" s="12" t="s">
        <v>2213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>
      <c r="A314" s="36" t="s">
        <v>655</v>
      </c>
      <c r="B314" s="12" t="s">
        <v>656</v>
      </c>
      <c r="C314" s="12"/>
      <c r="D314" s="12" t="s">
        <v>2214</v>
      </c>
      <c r="E314" s="12" t="s">
        <v>657</v>
      </c>
      <c r="F314" s="12" t="s">
        <v>658</v>
      </c>
      <c r="G314" s="12">
        <v>5011.0</v>
      </c>
      <c r="H314" s="12" t="s">
        <v>414</v>
      </c>
      <c r="I314" s="12" t="s">
        <v>659</v>
      </c>
      <c r="J314" s="12" t="s">
        <v>2215</v>
      </c>
      <c r="K314" s="12" t="s">
        <v>2216</v>
      </c>
      <c r="L314" s="12" t="s">
        <v>662</v>
      </c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>
      <c r="A315" s="36" t="s">
        <v>394</v>
      </c>
      <c r="B315" s="12" t="s">
        <v>650</v>
      </c>
      <c r="C315" s="12"/>
      <c r="D315" s="12" t="s">
        <v>2217</v>
      </c>
      <c r="E315" s="12" t="s">
        <v>652</v>
      </c>
      <c r="F315" s="12" t="s">
        <v>398</v>
      </c>
      <c r="G315" s="12">
        <v>78040.0</v>
      </c>
      <c r="H315" s="12" t="s">
        <v>653</v>
      </c>
      <c r="I315" s="12" t="s">
        <v>400</v>
      </c>
      <c r="J315" s="12" t="s">
        <v>401</v>
      </c>
      <c r="K315" s="12" t="s">
        <v>2218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>
      <c r="A316" s="36" t="s">
        <v>888</v>
      </c>
      <c r="B316" s="12" t="s">
        <v>889</v>
      </c>
      <c r="C316" s="20"/>
      <c r="D316" s="12" t="s">
        <v>47</v>
      </c>
      <c r="E316" s="12" t="s">
        <v>2219</v>
      </c>
      <c r="F316" s="12"/>
      <c r="G316" s="12" t="s">
        <v>2220</v>
      </c>
      <c r="H316" s="12" t="s">
        <v>324</v>
      </c>
      <c r="I316" s="12" t="s">
        <v>230</v>
      </c>
      <c r="J316" s="12" t="s">
        <v>2221</v>
      </c>
      <c r="K316" s="12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>
      <c r="A317" s="36" t="s">
        <v>884</v>
      </c>
      <c r="B317" s="12" t="s">
        <v>885</v>
      </c>
      <c r="C317" s="20"/>
      <c r="D317" s="12" t="s">
        <v>2222</v>
      </c>
      <c r="E317" s="12" t="s">
        <v>2223</v>
      </c>
      <c r="F317" s="12" t="s">
        <v>2224</v>
      </c>
      <c r="G317" s="12" t="s">
        <v>2225</v>
      </c>
      <c r="H317" s="12" t="s">
        <v>2001</v>
      </c>
      <c r="I317" s="12" t="s">
        <v>796</v>
      </c>
      <c r="J317" s="12" t="s">
        <v>2226</v>
      </c>
      <c r="K317" s="12" t="s">
        <v>2227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>
      <c r="A318" s="36" t="s">
        <v>394</v>
      </c>
      <c r="B318" s="12" t="s">
        <v>650</v>
      </c>
      <c r="C318" s="12"/>
      <c r="D318" s="12" t="s">
        <v>651</v>
      </c>
      <c r="E318" s="12" t="s">
        <v>652</v>
      </c>
      <c r="F318" s="12" t="s">
        <v>398</v>
      </c>
      <c r="G318" s="12">
        <v>78040.0</v>
      </c>
      <c r="H318" s="12" t="s">
        <v>653</v>
      </c>
      <c r="I318" s="12" t="s">
        <v>400</v>
      </c>
      <c r="J318" s="12" t="s">
        <v>401</v>
      </c>
      <c r="K318" s="12" t="s">
        <v>654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>
      <c r="A320" s="105" t="s">
        <v>2228</v>
      </c>
      <c r="B320" s="10"/>
      <c r="C320" s="11"/>
      <c r="D320" s="10"/>
      <c r="E320" s="10"/>
      <c r="F320" s="10"/>
      <c r="G320" s="10"/>
      <c r="H320" s="10"/>
      <c r="I320" s="10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89" t="s">
        <v>2229</v>
      </c>
      <c r="B321" s="10" t="s">
        <v>2230</v>
      </c>
      <c r="C321" s="11"/>
      <c r="D321" s="10" t="s">
        <v>2231</v>
      </c>
      <c r="E321" s="10" t="s">
        <v>2232</v>
      </c>
      <c r="F321" s="10" t="s">
        <v>2233</v>
      </c>
      <c r="G321" s="10">
        <v>4218.0</v>
      </c>
      <c r="H321" s="10" t="s">
        <v>33</v>
      </c>
      <c r="I321" s="10" t="s">
        <v>1185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89" t="s">
        <v>2234</v>
      </c>
      <c r="B322" s="10" t="s">
        <v>2235</v>
      </c>
      <c r="C322" s="11"/>
      <c r="D322" s="10" t="s">
        <v>2231</v>
      </c>
      <c r="E322" s="10" t="s">
        <v>2236</v>
      </c>
      <c r="F322" s="10" t="s">
        <v>2237</v>
      </c>
      <c r="G322" s="10">
        <v>2062.0</v>
      </c>
      <c r="H322" s="10" t="s">
        <v>50</v>
      </c>
      <c r="I322" s="10" t="s">
        <v>1185</v>
      </c>
      <c r="J322" s="10"/>
      <c r="K322" s="1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89" t="s">
        <v>2238</v>
      </c>
      <c r="B323" s="10" t="s">
        <v>2239</v>
      </c>
      <c r="C323" s="11"/>
      <c r="D323" s="10" t="s">
        <v>2231</v>
      </c>
      <c r="E323" s="10" t="s">
        <v>2240</v>
      </c>
      <c r="F323" s="10" t="s">
        <v>2241</v>
      </c>
      <c r="G323" s="10">
        <v>7248.0</v>
      </c>
      <c r="H323" s="10" t="s">
        <v>1217</v>
      </c>
      <c r="I323" s="10" t="s">
        <v>1185</v>
      </c>
      <c r="J323" s="10"/>
      <c r="K323" s="1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89" t="s">
        <v>2242</v>
      </c>
      <c r="B324" s="10" t="s">
        <v>2243</v>
      </c>
      <c r="C324" s="11"/>
      <c r="D324" s="10" t="s">
        <v>2231</v>
      </c>
      <c r="E324" s="10" t="s">
        <v>2244</v>
      </c>
      <c r="F324" s="10" t="s">
        <v>2245</v>
      </c>
      <c r="G324" s="10">
        <v>5501.0</v>
      </c>
      <c r="H324" s="10" t="s">
        <v>104</v>
      </c>
      <c r="I324" s="10" t="s">
        <v>1185</v>
      </c>
      <c r="J324" s="10"/>
      <c r="K324" s="1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89" t="s">
        <v>2246</v>
      </c>
      <c r="B325" s="12" t="s">
        <v>2247</v>
      </c>
      <c r="C325" s="10" t="s">
        <v>15</v>
      </c>
      <c r="D325" s="10" t="s">
        <v>2248</v>
      </c>
      <c r="E325" s="10" t="s">
        <v>2249</v>
      </c>
      <c r="F325" s="10" t="s">
        <v>167</v>
      </c>
      <c r="G325" s="10">
        <v>3146.0</v>
      </c>
      <c r="H325" s="10" t="s">
        <v>19</v>
      </c>
      <c r="I325" s="10" t="s">
        <v>1185</v>
      </c>
      <c r="J325" s="10"/>
      <c r="K325" s="1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89" t="s">
        <v>2250</v>
      </c>
      <c r="B326" s="10" t="s">
        <v>2251</v>
      </c>
      <c r="C326" s="11"/>
      <c r="D326" s="10" t="s">
        <v>2231</v>
      </c>
      <c r="E326" s="10" t="s">
        <v>2252</v>
      </c>
      <c r="F326" s="10" t="s">
        <v>2042</v>
      </c>
      <c r="G326" s="10">
        <v>3800.0</v>
      </c>
      <c r="H326" s="10" t="s">
        <v>2042</v>
      </c>
      <c r="I326" s="10" t="s">
        <v>659</v>
      </c>
      <c r="J326" s="10" t="s">
        <v>2253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89" t="s">
        <v>737</v>
      </c>
      <c r="B327" s="10" t="s">
        <v>738</v>
      </c>
      <c r="C327" s="11"/>
      <c r="D327" s="10" t="s">
        <v>2231</v>
      </c>
      <c r="E327" s="10" t="s">
        <v>739</v>
      </c>
      <c r="F327" s="10" t="s">
        <v>436</v>
      </c>
      <c r="G327" s="10">
        <v>75238.0</v>
      </c>
      <c r="H327" s="10" t="s">
        <v>653</v>
      </c>
      <c r="I327" s="10" t="s">
        <v>437</v>
      </c>
      <c r="J327" s="10" t="s">
        <v>2254</v>
      </c>
      <c r="K327" s="10" t="s">
        <v>2255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>
      <c r="A329" s="63" t="s">
        <v>2256</v>
      </c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>
      <c r="A330" s="37" t="s">
        <v>2257</v>
      </c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</row>
    <row r="1008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</row>
    <row r="1010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</row>
    <row r="101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</row>
    <row r="1012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</row>
    <row r="1013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</row>
    <row r="1014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</row>
    <row r="1015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</row>
    <row r="1016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</row>
    <row r="1017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</row>
    <row r="1018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</row>
    <row r="1019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</row>
    <row r="1020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</row>
    <row r="1021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</row>
    <row r="1022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</row>
    <row r="1023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</row>
    <row r="1024">
      <c r="A1024" s="20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</row>
    <row r="1025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</row>
    <row r="1026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</row>
    <row r="1027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</row>
    <row r="1028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</row>
    <row r="1029">
      <c r="A1029" s="20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</row>
    <row r="1030">
      <c r="A1030" s="20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</row>
    <row r="1031">
      <c r="A1031" s="20"/>
      <c r="B1031" s="20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</row>
    <row r="1032">
      <c r="A1032" s="20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</row>
    <row r="1033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</row>
    <row r="1034">
      <c r="A1034" s="20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</row>
    <row r="1035">
      <c r="A1035" s="20"/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</row>
    <row r="1036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</row>
    <row r="1037">
      <c r="A1037" s="20"/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</row>
    <row r="1038">
      <c r="A1038" s="20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</row>
    <row r="1039">
      <c r="A1039" s="2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</row>
    <row r="1040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</row>
    <row r="1041">
      <c r="A1041" s="20"/>
      <c r="B1041" s="20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</row>
    <row r="1042">
      <c r="A1042" s="2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</row>
    <row r="1043">
      <c r="A1043" s="2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</row>
    <row r="1044">
      <c r="A1044" s="20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</row>
    <row r="1045">
      <c r="A1045" s="20"/>
      <c r="B1045" s="20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</row>
    <row r="1046">
      <c r="A1046" s="20"/>
      <c r="B1046" s="20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</row>
    <row r="1047">
      <c r="A1047" s="20"/>
      <c r="B1047" s="20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</row>
    <row r="1048">
      <c r="A1048" s="20"/>
      <c r="B1048" s="20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</row>
    <row r="1049">
      <c r="A1049" s="20"/>
      <c r="B1049" s="20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</row>
    <row r="1050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</row>
    <row r="1051">
      <c r="A1051" s="20"/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</row>
    <row r="1052">
      <c r="A1052" s="20"/>
      <c r="B1052" s="20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</row>
    <row r="1053">
      <c r="A1053" s="20"/>
      <c r="B1053" s="20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</row>
    <row r="1054">
      <c r="A1054" s="20"/>
      <c r="B1054" s="20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</row>
    <row r="1055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</row>
    <row r="1056">
      <c r="A1056" s="20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</row>
    <row r="1057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</row>
    <row r="1058">
      <c r="A1058" s="20"/>
      <c r="B1058" s="20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</row>
    <row r="1059">
      <c r="A1059" s="20"/>
      <c r="B1059" s="20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</row>
    <row r="1060">
      <c r="A1060" s="20"/>
      <c r="B1060" s="20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</row>
    <row r="1061">
      <c r="A1061" s="20"/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</row>
    <row r="1062">
      <c r="A1062" s="20"/>
      <c r="B1062" s="20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</row>
    <row r="1063">
      <c r="A1063" s="20"/>
      <c r="B1063" s="20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</row>
    <row r="1064">
      <c r="A1064" s="20"/>
      <c r="B1064" s="20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</row>
    <row r="1065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</row>
    <row r="1066">
      <c r="A1066" s="20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</row>
    <row r="1067">
      <c r="A1067" s="20"/>
      <c r="B1067" s="20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</row>
    <row r="1068">
      <c r="A1068" s="20"/>
      <c r="B1068" s="20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</row>
    <row r="1069">
      <c r="A1069" s="20"/>
      <c r="B1069" s="20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</row>
    <row r="1070">
      <c r="A1070" s="20"/>
      <c r="B1070" s="20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</row>
    <row r="1071">
      <c r="A1071" s="20"/>
      <c r="B1071" s="20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</row>
    <row r="1072">
      <c r="A1072" s="20"/>
      <c r="B1072" s="20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</row>
    <row r="1073">
      <c r="A1073" s="20"/>
      <c r="B1073" s="20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</row>
    <row r="1074">
      <c r="A1074" s="20"/>
      <c r="B1074" s="20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</row>
    <row r="1075">
      <c r="A1075" s="20"/>
      <c r="B1075" s="20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</row>
    <row r="1076">
      <c r="A1076" s="20"/>
      <c r="B1076" s="20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</row>
    <row r="1077">
      <c r="A1077" s="20"/>
      <c r="B1077" s="20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</row>
    <row r="1078">
      <c r="A1078" s="20"/>
      <c r="B1078" s="20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</row>
    <row r="1079">
      <c r="A1079" s="20"/>
      <c r="B1079" s="20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</row>
    <row r="1080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</row>
    <row r="1081">
      <c r="A1081" s="20"/>
      <c r="B1081" s="20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</row>
    <row r="1082">
      <c r="A1082" s="20"/>
      <c r="B1082" s="20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</row>
    <row r="1083">
      <c r="A1083" s="20"/>
      <c r="B1083" s="20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</row>
    <row r="1084">
      <c r="A1084" s="20"/>
      <c r="B1084" s="20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</row>
    <row r="1085">
      <c r="A1085" s="20"/>
      <c r="B1085" s="20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</row>
    <row r="1086">
      <c r="A1086" s="20"/>
      <c r="B1086" s="20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</row>
    <row r="1087">
      <c r="A1087" s="20"/>
      <c r="B1087" s="20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</row>
    <row r="1088">
      <c r="A1088" s="20"/>
      <c r="B1088" s="20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</row>
    <row r="1089">
      <c r="A1089" s="20"/>
      <c r="B1089" s="20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</row>
    <row r="1090">
      <c r="A1090" s="20"/>
      <c r="B1090" s="20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</row>
    <row r="1091">
      <c r="A1091" s="20"/>
      <c r="B1091" s="20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</row>
    <row r="1092">
      <c r="A1092" s="20"/>
      <c r="B1092" s="20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</row>
    <row r="1093">
      <c r="A1093" s="20"/>
      <c r="B1093" s="20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</row>
    <row r="1094">
      <c r="A1094" s="20"/>
      <c r="B1094" s="20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</row>
    <row r="1095">
      <c r="A1095" s="20"/>
      <c r="B1095" s="20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</row>
    <row r="1096">
      <c r="A1096" s="20"/>
      <c r="B1096" s="20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</row>
    <row r="1097">
      <c r="A1097" s="20"/>
      <c r="B1097" s="20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</row>
    <row r="1098">
      <c r="A1098" s="20"/>
      <c r="B1098" s="20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</row>
    <row r="1099">
      <c r="A1099" s="20"/>
      <c r="B1099" s="20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</row>
    <row r="1100">
      <c r="A1100" s="20"/>
      <c r="B1100" s="20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</row>
    <row r="1101">
      <c r="A1101" s="20"/>
      <c r="B1101" s="20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</row>
    <row r="1102">
      <c r="A1102" s="20"/>
      <c r="B1102" s="20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</row>
    <row r="1103">
      <c r="A1103" s="20"/>
      <c r="B1103" s="20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</row>
    <row r="1104">
      <c r="A1104" s="20"/>
      <c r="B1104" s="20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</row>
    <row r="1105">
      <c r="A1105" s="20"/>
      <c r="B1105" s="20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</row>
    <row r="1106">
      <c r="A1106" s="20"/>
      <c r="B1106" s="20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</row>
    <row r="1107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</row>
    <row r="1108">
      <c r="A1108" s="20"/>
      <c r="B1108" s="20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</row>
    <row r="1109">
      <c r="A1109" s="20"/>
      <c r="B1109" s="20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</row>
    <row r="1110">
      <c r="A1110" s="20"/>
      <c r="B1110" s="20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</row>
    <row r="1111">
      <c r="A1111" s="20"/>
      <c r="B1111" s="20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</row>
    <row r="1112">
      <c r="A1112" s="20"/>
      <c r="B1112" s="20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</row>
    <row r="1113">
      <c r="A1113" s="20"/>
      <c r="B1113" s="20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</row>
    <row r="1114">
      <c r="A1114" s="20"/>
      <c r="B1114" s="20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</row>
    <row r="1115">
      <c r="A1115" s="20"/>
      <c r="B1115" s="20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</row>
    <row r="1116">
      <c r="A1116" s="20"/>
      <c r="B1116" s="20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</row>
    <row r="1117">
      <c r="A1117" s="20"/>
      <c r="B1117" s="20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</row>
    <row r="1118">
      <c r="A1118" s="20"/>
      <c r="B1118" s="20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</row>
    <row r="1119">
      <c r="A1119" s="20"/>
      <c r="B1119" s="20"/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</row>
    <row r="1120">
      <c r="A1120" s="20"/>
      <c r="B1120" s="20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</row>
    <row r="1121">
      <c r="A1121" s="20"/>
      <c r="B1121" s="20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</row>
    <row r="1122">
      <c r="A1122" s="20"/>
      <c r="B1122" s="20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</row>
    <row r="1123">
      <c r="A1123" s="20"/>
      <c r="B1123" s="20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</row>
    <row r="1124">
      <c r="A1124" s="20"/>
      <c r="B1124" s="20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</row>
    <row r="1125">
      <c r="A1125" s="20"/>
      <c r="B1125" s="20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</row>
    <row r="1126">
      <c r="A1126" s="20"/>
      <c r="B1126" s="20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</row>
    <row r="1127">
      <c r="A1127" s="20"/>
      <c r="B1127" s="20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</row>
    <row r="1128">
      <c r="A1128" s="20"/>
      <c r="B1128" s="20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</row>
    <row r="1129">
      <c r="A1129" s="20"/>
      <c r="B1129" s="20"/>
      <c r="C1129" s="20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</row>
    <row r="1130">
      <c r="A1130" s="20"/>
      <c r="B1130" s="20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</row>
    <row r="1131">
      <c r="A1131" s="20"/>
      <c r="B1131" s="20"/>
      <c r="C1131" s="20"/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</row>
    <row r="1132">
      <c r="A1132" s="20"/>
      <c r="B1132" s="20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</row>
    <row r="1133">
      <c r="A1133" s="20"/>
      <c r="B1133" s="20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</row>
    <row r="1134">
      <c r="A1134" s="20"/>
      <c r="B1134" s="20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</row>
    <row r="1135">
      <c r="A1135" s="20"/>
      <c r="B1135" s="20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</row>
    <row r="1136">
      <c r="A1136" s="20"/>
      <c r="B1136" s="20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</row>
    <row r="1137">
      <c r="A1137" s="20"/>
      <c r="B1137" s="20"/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</row>
    <row r="1138">
      <c r="A1138" s="20"/>
      <c r="B1138" s="20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</row>
    <row r="1139">
      <c r="A1139" s="20"/>
      <c r="B1139" s="20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</row>
    <row r="1140">
      <c r="A1140" s="20"/>
      <c r="B1140" s="20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</row>
    <row r="1141">
      <c r="A1141" s="20"/>
      <c r="B1141" s="20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</row>
    <row r="1142">
      <c r="A1142" s="20"/>
      <c r="B1142" s="20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</row>
    <row r="1143">
      <c r="A1143" s="20"/>
      <c r="B1143" s="20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</row>
    <row r="1144">
      <c r="A1144" s="20"/>
      <c r="B1144" s="20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</row>
    <row r="1145">
      <c r="A1145" s="20"/>
      <c r="B1145" s="20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</row>
    <row r="1146">
      <c r="A1146" s="20"/>
      <c r="B1146" s="20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</row>
    <row r="1147">
      <c r="A1147" s="20"/>
      <c r="B1147" s="20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</row>
    <row r="1148">
      <c r="A1148" s="20"/>
      <c r="B1148" s="20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</row>
    <row r="1149">
      <c r="A1149" s="20"/>
      <c r="B1149" s="20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</row>
    <row r="1150">
      <c r="A1150" s="20"/>
      <c r="B1150" s="20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</row>
    <row r="1151">
      <c r="A1151" s="20"/>
      <c r="B1151" s="20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</row>
    <row r="1152">
      <c r="A1152" s="20"/>
      <c r="B1152" s="20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</row>
    <row r="1153">
      <c r="A1153" s="20"/>
      <c r="B1153" s="20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</row>
    <row r="1154">
      <c r="A1154" s="20"/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</row>
    <row r="1155">
      <c r="A1155" s="20"/>
      <c r="B1155" s="20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</row>
    <row r="1156">
      <c r="A1156" s="20"/>
      <c r="B1156" s="20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</row>
    <row r="1157">
      <c r="A1157" s="20"/>
      <c r="B1157" s="20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</row>
    <row r="1158">
      <c r="A1158" s="20"/>
      <c r="B1158" s="20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</row>
    <row r="1159">
      <c r="A1159" s="20"/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</row>
    <row r="1160">
      <c r="A1160" s="20"/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</row>
    <row r="1161">
      <c r="A1161" s="20"/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</row>
    <row r="1162">
      <c r="A1162" s="20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</row>
    <row r="1163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</row>
    <row r="1164">
      <c r="A1164" s="20"/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</row>
    <row r="1165">
      <c r="A1165" s="20"/>
      <c r="B1165" s="20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</row>
    <row r="1166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</row>
    <row r="1167">
      <c r="A1167" s="20"/>
      <c r="B1167" s="20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</row>
    <row r="1168">
      <c r="A1168" s="20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</row>
    <row r="1169">
      <c r="A1169" s="20"/>
      <c r="B1169" s="20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</row>
    <row r="1170">
      <c r="A1170" s="20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</row>
    <row r="1171">
      <c r="A1171" s="20"/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</row>
    <row r="1172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</row>
    <row r="1173">
      <c r="A1173" s="20"/>
      <c r="B1173" s="20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</row>
    <row r="1174">
      <c r="A1174" s="20"/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</row>
    <row r="1175">
      <c r="A1175" s="20"/>
      <c r="B1175" s="20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</row>
    <row r="1176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</row>
    <row r="1177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</row>
    <row r="1178">
      <c r="A1178" s="20"/>
      <c r="B1178" s="20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</row>
    <row r="1179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</row>
    <row r="1180">
      <c r="A1180" s="20"/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</row>
    <row r="1181">
      <c r="A1181" s="20"/>
      <c r="B1181" s="20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</row>
    <row r="1182">
      <c r="A1182" s="20"/>
      <c r="B1182" s="20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</row>
    <row r="1183">
      <c r="A1183" s="20"/>
      <c r="B1183" s="20"/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</row>
    <row r="1184">
      <c r="A1184" s="20"/>
      <c r="B1184" s="20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</row>
    <row r="1185">
      <c r="A1185" s="20"/>
      <c r="B1185" s="20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</row>
    <row r="1186">
      <c r="A1186" s="20"/>
      <c r="B1186" s="20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</row>
    <row r="1187">
      <c r="A1187" s="20"/>
      <c r="B1187" s="20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</row>
    <row r="1188">
      <c r="A1188" s="20"/>
      <c r="B1188" s="20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</row>
    <row r="1189">
      <c r="A1189" s="20"/>
      <c r="B1189" s="20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</row>
    <row r="1190">
      <c r="A1190" s="20"/>
      <c r="B1190" s="20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75"/>
    <col customWidth="1" min="2" max="2" width="15.88"/>
    <col customWidth="1" min="3" max="3" width="18.88"/>
    <col customWidth="1" min="4" max="4" width="15.0"/>
    <col customWidth="1" min="5" max="5" width="8.38"/>
    <col customWidth="1" min="6" max="6" width="11.5"/>
    <col customWidth="1" min="7" max="7" width="29.75"/>
    <col customWidth="1" min="8" max="8" width="9.75"/>
    <col customWidth="1" min="9" max="9" width="20.75"/>
    <col customWidth="1" min="10" max="10" width="63.63"/>
    <col customWidth="1" min="11" max="11" width="14.25"/>
  </cols>
  <sheetData>
    <row r="1">
      <c r="A1" s="97" t="s">
        <v>810</v>
      </c>
      <c r="B1" s="97" t="s">
        <v>2258</v>
      </c>
      <c r="C1" s="97" t="s">
        <v>812</v>
      </c>
      <c r="D1" s="97" t="s">
        <v>1</v>
      </c>
      <c r="E1" s="97" t="s">
        <v>811</v>
      </c>
      <c r="F1" s="97" t="s">
        <v>814</v>
      </c>
      <c r="G1" s="97" t="s">
        <v>9</v>
      </c>
      <c r="H1" s="97" t="s">
        <v>2259</v>
      </c>
      <c r="I1" s="106" t="s">
        <v>2260</v>
      </c>
      <c r="J1" s="106" t="s">
        <v>10</v>
      </c>
      <c r="K1" s="106" t="s">
        <v>2261</v>
      </c>
    </row>
    <row r="2">
      <c r="A2" s="84" t="s">
        <v>2262</v>
      </c>
      <c r="B2" s="84"/>
      <c r="C2" s="84" t="s">
        <v>2263</v>
      </c>
      <c r="D2" s="84" t="s">
        <v>2264</v>
      </c>
      <c r="E2" s="107" t="s">
        <v>2265</v>
      </c>
      <c r="F2" s="84" t="s">
        <v>2266</v>
      </c>
      <c r="G2" s="84" t="s">
        <v>2267</v>
      </c>
      <c r="H2" s="107" t="s">
        <v>2268</v>
      </c>
      <c r="I2" s="36" t="s">
        <v>2269</v>
      </c>
      <c r="J2" s="84" t="s">
        <v>2270</v>
      </c>
      <c r="K2" s="46" t="s">
        <v>2271</v>
      </c>
      <c r="L2" s="46" t="s">
        <v>2272</v>
      </c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</row>
    <row r="3">
      <c r="A3" s="84" t="s">
        <v>2273</v>
      </c>
      <c r="B3" s="84"/>
      <c r="C3" s="84" t="s">
        <v>2274</v>
      </c>
      <c r="D3" s="109" t="s">
        <v>2275</v>
      </c>
      <c r="E3" s="110" t="s">
        <v>2276</v>
      </c>
      <c r="F3" s="109" t="s">
        <v>2277</v>
      </c>
      <c r="G3" s="84" t="s">
        <v>2278</v>
      </c>
      <c r="H3" s="111">
        <v>45385.0</v>
      </c>
      <c r="I3" s="36" t="s">
        <v>2269</v>
      </c>
      <c r="J3" s="84" t="s">
        <v>2279</v>
      </c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</row>
    <row r="4">
      <c r="A4" s="85" t="s">
        <v>2280</v>
      </c>
      <c r="B4" s="85"/>
      <c r="C4" s="85"/>
      <c r="D4" s="85" t="s">
        <v>2281</v>
      </c>
      <c r="E4" s="112" t="s">
        <v>2282</v>
      </c>
      <c r="F4" s="74"/>
      <c r="G4" s="85" t="s">
        <v>2283</v>
      </c>
      <c r="H4" s="112" t="s">
        <v>2284</v>
      </c>
      <c r="I4" s="36" t="s">
        <v>2269</v>
      </c>
      <c r="J4" s="85" t="s">
        <v>2285</v>
      </c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</row>
    <row r="5">
      <c r="A5" s="84" t="s">
        <v>2286</v>
      </c>
      <c r="B5" s="84"/>
      <c r="C5" s="84" t="s">
        <v>2287</v>
      </c>
      <c r="D5" s="84" t="s">
        <v>2288</v>
      </c>
      <c r="E5" s="107" t="s">
        <v>2289</v>
      </c>
      <c r="F5" s="114"/>
      <c r="G5" s="84" t="s">
        <v>2290</v>
      </c>
      <c r="H5" s="107" t="s">
        <v>2291</v>
      </c>
      <c r="I5" s="36" t="s">
        <v>2269</v>
      </c>
      <c r="J5" s="84" t="s">
        <v>2292</v>
      </c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</row>
    <row r="6">
      <c r="A6" s="46" t="s">
        <v>2293</v>
      </c>
      <c r="B6" s="46"/>
      <c r="C6" s="46" t="s">
        <v>2294</v>
      </c>
      <c r="D6" s="46" t="s">
        <v>2295</v>
      </c>
      <c r="E6" s="107" t="s">
        <v>2296</v>
      </c>
      <c r="F6" s="108"/>
      <c r="G6" s="46" t="s">
        <v>2297</v>
      </c>
      <c r="H6" s="111">
        <v>45600.0</v>
      </c>
      <c r="I6" s="36" t="s">
        <v>2269</v>
      </c>
      <c r="J6" s="46" t="s">
        <v>2298</v>
      </c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</row>
    <row r="7">
      <c r="A7" s="84" t="s">
        <v>2299</v>
      </c>
      <c r="B7" s="46" t="s">
        <v>2300</v>
      </c>
      <c r="C7" s="84" t="s">
        <v>2301</v>
      </c>
      <c r="D7" s="84" t="s">
        <v>2302</v>
      </c>
      <c r="E7" s="107" t="s">
        <v>2303</v>
      </c>
      <c r="F7" s="114"/>
      <c r="G7" s="84" t="s">
        <v>2304</v>
      </c>
      <c r="H7" s="107" t="s">
        <v>2305</v>
      </c>
      <c r="I7" s="36" t="s">
        <v>2269</v>
      </c>
      <c r="J7" s="84" t="s">
        <v>2306</v>
      </c>
      <c r="K7" s="108"/>
      <c r="L7" s="46" t="s">
        <v>2307</v>
      </c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</row>
    <row r="8">
      <c r="A8" s="46" t="s">
        <v>2308</v>
      </c>
      <c r="B8" s="46" t="s">
        <v>2300</v>
      </c>
      <c r="C8" s="46" t="s">
        <v>2309</v>
      </c>
      <c r="D8" s="46" t="s">
        <v>2310</v>
      </c>
      <c r="E8" s="107" t="s">
        <v>2311</v>
      </c>
      <c r="F8" s="108"/>
      <c r="G8" s="46" t="s">
        <v>2312</v>
      </c>
      <c r="H8" s="107" t="s">
        <v>2313</v>
      </c>
      <c r="I8" s="36" t="s">
        <v>2269</v>
      </c>
      <c r="J8" s="46" t="s">
        <v>2314</v>
      </c>
      <c r="K8" s="115" t="s">
        <v>2315</v>
      </c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</row>
    <row r="9">
      <c r="A9" s="46" t="s">
        <v>2316</v>
      </c>
      <c r="B9" s="46"/>
      <c r="C9" s="46" t="s">
        <v>2317</v>
      </c>
      <c r="D9" s="46" t="s">
        <v>2318</v>
      </c>
      <c r="E9" s="107" t="s">
        <v>2319</v>
      </c>
      <c r="F9" s="108"/>
      <c r="G9" s="46" t="s">
        <v>2320</v>
      </c>
      <c r="H9" s="116"/>
      <c r="I9" s="36" t="s">
        <v>2269</v>
      </c>
      <c r="J9" s="46" t="s">
        <v>2321</v>
      </c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</row>
    <row r="10">
      <c r="A10" s="53" t="s">
        <v>2322</v>
      </c>
      <c r="B10" s="46" t="s">
        <v>2300</v>
      </c>
      <c r="C10" s="46" t="s">
        <v>2323</v>
      </c>
      <c r="D10" s="46" t="s">
        <v>2324</v>
      </c>
      <c r="E10" s="107" t="s">
        <v>2325</v>
      </c>
      <c r="F10" s="108"/>
      <c r="G10" s="46" t="s">
        <v>2326</v>
      </c>
      <c r="H10" s="116"/>
      <c r="I10" s="53" t="s">
        <v>2327</v>
      </c>
      <c r="J10" s="117" t="s">
        <v>2328</v>
      </c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</row>
    <row r="11">
      <c r="A11" s="46" t="s">
        <v>2329</v>
      </c>
      <c r="B11" s="46" t="s">
        <v>2300</v>
      </c>
      <c r="C11" s="46" t="s">
        <v>2330</v>
      </c>
      <c r="D11" s="46" t="s">
        <v>2331</v>
      </c>
      <c r="E11" s="107" t="s">
        <v>2332</v>
      </c>
      <c r="F11" s="108"/>
      <c r="G11" s="46" t="s">
        <v>2333</v>
      </c>
      <c r="H11" s="116"/>
      <c r="I11" s="36" t="s">
        <v>2269</v>
      </c>
      <c r="J11" s="46" t="s">
        <v>2334</v>
      </c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</row>
    <row r="12">
      <c r="A12" s="46" t="s">
        <v>2335</v>
      </c>
      <c r="B12" s="46" t="s">
        <v>2336</v>
      </c>
      <c r="C12" s="46" t="s">
        <v>2337</v>
      </c>
      <c r="D12" s="46" t="s">
        <v>1194</v>
      </c>
      <c r="E12" s="107" t="s">
        <v>2338</v>
      </c>
      <c r="F12" s="108"/>
      <c r="G12" s="46" t="s">
        <v>1198</v>
      </c>
      <c r="H12" s="116"/>
      <c r="I12" s="118" t="s">
        <v>2339</v>
      </c>
      <c r="J12" s="46" t="s">
        <v>2340</v>
      </c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</row>
    <row r="13">
      <c r="A13" s="46" t="s">
        <v>2341</v>
      </c>
      <c r="B13" s="46" t="s">
        <v>2336</v>
      </c>
      <c r="C13" s="46" t="s">
        <v>2342</v>
      </c>
      <c r="D13" s="46" t="s">
        <v>2343</v>
      </c>
      <c r="E13" s="107" t="s">
        <v>2344</v>
      </c>
      <c r="F13" s="108"/>
      <c r="G13" s="46" t="s">
        <v>2345</v>
      </c>
      <c r="H13" s="116"/>
      <c r="I13" s="118" t="s">
        <v>2339</v>
      </c>
      <c r="J13" s="46" t="s">
        <v>2346</v>
      </c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</row>
    <row r="14">
      <c r="A14" s="46" t="s">
        <v>2347</v>
      </c>
      <c r="B14" s="46"/>
      <c r="C14" s="46" t="s">
        <v>2348</v>
      </c>
      <c r="D14" s="46" t="s">
        <v>1745</v>
      </c>
      <c r="E14" s="107" t="s">
        <v>2349</v>
      </c>
      <c r="F14" s="108"/>
      <c r="G14" s="46" t="s">
        <v>2350</v>
      </c>
      <c r="H14" s="116"/>
      <c r="I14" s="118" t="s">
        <v>2351</v>
      </c>
      <c r="J14" s="46" t="s">
        <v>2352</v>
      </c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</row>
    <row r="15">
      <c r="A15" s="46" t="s">
        <v>2353</v>
      </c>
      <c r="B15" s="46"/>
      <c r="C15" s="46" t="s">
        <v>2354</v>
      </c>
      <c r="D15" s="46" t="s">
        <v>2355</v>
      </c>
      <c r="E15" s="107" t="s">
        <v>2356</v>
      </c>
      <c r="F15" s="108"/>
      <c r="G15" s="46"/>
      <c r="H15" s="116"/>
      <c r="I15" s="118" t="s">
        <v>2351</v>
      </c>
      <c r="J15" s="46" t="s">
        <v>2357</v>
      </c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</row>
    <row r="16">
      <c r="A16" s="46" t="s">
        <v>837</v>
      </c>
      <c r="B16" s="46"/>
      <c r="C16" s="46" t="s">
        <v>2358</v>
      </c>
      <c r="D16" s="46" t="s">
        <v>838</v>
      </c>
      <c r="E16" s="107" t="s">
        <v>839</v>
      </c>
      <c r="F16" s="46" t="s">
        <v>2359</v>
      </c>
      <c r="G16" s="46" t="s">
        <v>2360</v>
      </c>
      <c r="H16" s="116"/>
      <c r="I16" s="118" t="s">
        <v>2351</v>
      </c>
      <c r="J16" s="46" t="s">
        <v>2361</v>
      </c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</row>
    <row r="17">
      <c r="A17" s="44" t="s">
        <v>2362</v>
      </c>
      <c r="B17" s="46" t="s">
        <v>2300</v>
      </c>
      <c r="C17" s="46" t="s">
        <v>1228</v>
      </c>
      <c r="D17" s="46" t="s">
        <v>1229</v>
      </c>
      <c r="E17" s="107" t="s">
        <v>2363</v>
      </c>
      <c r="F17" s="108"/>
      <c r="G17" s="46"/>
      <c r="H17" s="116"/>
      <c r="I17" s="44" t="s">
        <v>2364</v>
      </c>
      <c r="J17" s="46" t="s">
        <v>2365</v>
      </c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</row>
    <row r="18">
      <c r="A18" s="43" t="s">
        <v>2366</v>
      </c>
      <c r="B18" s="46" t="s">
        <v>2367</v>
      </c>
      <c r="C18" s="84"/>
      <c r="D18" s="84" t="s">
        <v>2368</v>
      </c>
      <c r="E18" s="107" t="s">
        <v>2369</v>
      </c>
      <c r="F18" s="114"/>
      <c r="G18" s="84" t="s">
        <v>2370</v>
      </c>
      <c r="H18" s="114"/>
      <c r="I18" s="44" t="s">
        <v>2364</v>
      </c>
      <c r="J18" s="84" t="s">
        <v>2371</v>
      </c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</row>
    <row r="19">
      <c r="A19" s="46" t="s">
        <v>2372</v>
      </c>
      <c r="B19" s="46" t="s">
        <v>2336</v>
      </c>
      <c r="C19" s="46" t="s">
        <v>2373</v>
      </c>
      <c r="D19" s="46" t="s">
        <v>1187</v>
      </c>
      <c r="E19" s="107" t="s">
        <v>2374</v>
      </c>
      <c r="F19" s="108"/>
      <c r="G19" s="46" t="s">
        <v>1191</v>
      </c>
      <c r="H19" s="116"/>
      <c r="I19" s="21" t="s">
        <v>2375</v>
      </c>
      <c r="J19" s="46" t="s">
        <v>2376</v>
      </c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</row>
    <row r="20">
      <c r="A20" s="21" t="s">
        <v>842</v>
      </c>
      <c r="B20" s="21"/>
      <c r="C20" s="21"/>
      <c r="D20" s="21" t="s">
        <v>843</v>
      </c>
      <c r="E20" s="47" t="s">
        <v>2377</v>
      </c>
      <c r="G20" s="21" t="s">
        <v>2378</v>
      </c>
      <c r="H20" s="48"/>
      <c r="I20" s="21" t="s">
        <v>2379</v>
      </c>
      <c r="J20" s="21" t="s">
        <v>2380</v>
      </c>
    </row>
    <row r="21">
      <c r="A21" s="21" t="s">
        <v>2381</v>
      </c>
      <c r="B21" s="21"/>
      <c r="C21" s="21"/>
      <c r="D21" s="21" t="s">
        <v>2382</v>
      </c>
      <c r="E21" s="47" t="s">
        <v>2383</v>
      </c>
      <c r="G21" s="21"/>
      <c r="H21" s="48"/>
      <c r="I21" s="21"/>
      <c r="J21" s="21" t="s">
        <v>2384</v>
      </c>
    </row>
    <row r="22">
      <c r="A22" s="21" t="s">
        <v>2385</v>
      </c>
      <c r="B22" s="21"/>
      <c r="C22" s="21"/>
      <c r="D22" s="21" t="s">
        <v>2386</v>
      </c>
      <c r="E22" s="47" t="s">
        <v>2387</v>
      </c>
      <c r="G22" s="21"/>
      <c r="H22" s="48"/>
      <c r="I22" s="21"/>
      <c r="J22" s="21"/>
    </row>
    <row r="23">
      <c r="A23" s="21" t="s">
        <v>2388</v>
      </c>
      <c r="B23" s="21"/>
      <c r="C23" s="21"/>
      <c r="D23" s="21" t="s">
        <v>2389</v>
      </c>
      <c r="E23" s="47" t="s">
        <v>2390</v>
      </c>
      <c r="G23" s="21"/>
      <c r="H23" s="48"/>
      <c r="I23" s="21"/>
      <c r="J23" s="21" t="s">
        <v>2391</v>
      </c>
    </row>
    <row r="24">
      <c r="A24" s="21"/>
      <c r="B24" s="21"/>
      <c r="C24" s="21"/>
      <c r="D24" s="21"/>
      <c r="E24" s="47"/>
      <c r="G24" s="21"/>
      <c r="H24" s="48"/>
      <c r="I24" s="21"/>
      <c r="J24" s="21"/>
    </row>
    <row r="25">
      <c r="A25" s="21"/>
      <c r="B25" s="21"/>
      <c r="C25" s="21"/>
      <c r="D25" s="21"/>
      <c r="E25" s="47"/>
      <c r="G25" s="21"/>
      <c r="H25" s="48"/>
      <c r="I25" s="21"/>
      <c r="J25" s="21"/>
    </row>
    <row r="26">
      <c r="A26" s="21"/>
      <c r="B26" s="21"/>
      <c r="C26" s="21"/>
      <c r="D26" s="21"/>
      <c r="E26" s="47"/>
      <c r="G26" s="21"/>
      <c r="H26" s="48"/>
      <c r="I26" s="21"/>
      <c r="J26" s="21"/>
    </row>
    <row r="27">
      <c r="A27" s="21"/>
      <c r="B27" s="21"/>
      <c r="C27" s="21"/>
      <c r="D27" s="21"/>
      <c r="E27" s="47"/>
      <c r="G27" s="21"/>
      <c r="H27" s="48"/>
      <c r="I27" s="21"/>
      <c r="J27" s="21"/>
    </row>
    <row r="28">
      <c r="A28" s="12" t="s">
        <v>2392</v>
      </c>
      <c r="B28" s="20"/>
      <c r="C28" s="20"/>
      <c r="D28" s="20"/>
      <c r="E28" s="20"/>
      <c r="F28" s="20"/>
      <c r="G28" s="20"/>
      <c r="H28" s="12" t="s">
        <v>2393</v>
      </c>
      <c r="I28" s="20"/>
      <c r="J28" s="12" t="s">
        <v>2394</v>
      </c>
    </row>
    <row r="29">
      <c r="A29" s="12" t="s">
        <v>2395</v>
      </c>
      <c r="B29" s="12"/>
      <c r="C29" s="12" t="s">
        <v>2396</v>
      </c>
      <c r="D29" s="20"/>
      <c r="E29" s="20"/>
      <c r="F29" s="20"/>
      <c r="G29" s="12" t="s">
        <v>2397</v>
      </c>
      <c r="H29" s="20"/>
      <c r="I29" s="20"/>
      <c r="J29" s="12" t="s">
        <v>2398</v>
      </c>
    </row>
    <row r="30">
      <c r="A30" s="12" t="s">
        <v>2399</v>
      </c>
      <c r="B30" s="12"/>
      <c r="C30" s="12" t="s">
        <v>2400</v>
      </c>
      <c r="D30" s="20"/>
      <c r="E30" s="20"/>
      <c r="F30" s="20"/>
      <c r="G30" s="21" t="s">
        <v>2401</v>
      </c>
      <c r="H30" s="20"/>
      <c r="I30" s="20"/>
      <c r="J30" s="12" t="s">
        <v>2402</v>
      </c>
    </row>
    <row r="31">
      <c r="A31" s="12" t="s">
        <v>2403</v>
      </c>
      <c r="B31" s="20"/>
      <c r="C31" s="20"/>
      <c r="D31" s="20"/>
      <c r="E31" s="20"/>
      <c r="F31" s="20"/>
      <c r="H31" s="20"/>
      <c r="I31" s="20"/>
      <c r="J31" s="12" t="s">
        <v>2404</v>
      </c>
    </row>
    <row r="32">
      <c r="A32" s="12" t="s">
        <v>2405</v>
      </c>
      <c r="B32" s="12"/>
      <c r="C32" s="12" t="s">
        <v>2406</v>
      </c>
      <c r="D32" s="20"/>
      <c r="E32" s="20"/>
      <c r="F32" s="20"/>
      <c r="G32" s="12" t="s">
        <v>2407</v>
      </c>
      <c r="H32" s="20"/>
      <c r="I32" s="20"/>
      <c r="J32" s="12" t="s">
        <v>2408</v>
      </c>
    </row>
    <row r="33">
      <c r="A33" s="30" t="s">
        <v>2409</v>
      </c>
      <c r="B33" s="30"/>
      <c r="C33" s="30" t="s">
        <v>2410</v>
      </c>
      <c r="D33" s="119"/>
      <c r="E33" s="119"/>
      <c r="F33" s="119"/>
      <c r="G33" s="30" t="s">
        <v>2411</v>
      </c>
      <c r="H33" s="119"/>
      <c r="I33" s="30" t="s">
        <v>2412</v>
      </c>
      <c r="J33" s="30" t="s">
        <v>2413</v>
      </c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</row>
    <row r="34">
      <c r="A34" s="30" t="s">
        <v>2414</v>
      </c>
      <c r="B34" s="119"/>
      <c r="C34" s="119"/>
      <c r="D34" s="119"/>
      <c r="E34" s="119"/>
      <c r="F34" s="119"/>
      <c r="G34" s="30" t="s">
        <v>2415</v>
      </c>
      <c r="H34" s="119"/>
      <c r="I34" s="30" t="s">
        <v>2416</v>
      </c>
      <c r="J34" s="30" t="s">
        <v>2408</v>
      </c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</row>
    <row r="35">
      <c r="A35" s="12" t="s">
        <v>2417</v>
      </c>
      <c r="B35" s="20"/>
      <c r="C35" s="20"/>
      <c r="D35" s="20"/>
      <c r="E35" s="20"/>
      <c r="F35" s="20"/>
      <c r="G35" s="12" t="s">
        <v>2418</v>
      </c>
      <c r="H35" s="20"/>
      <c r="I35" s="20"/>
      <c r="J35" s="12" t="s">
        <v>2419</v>
      </c>
    </row>
    <row r="36">
      <c r="A36" s="44" t="s">
        <v>2420</v>
      </c>
      <c r="B36" s="44"/>
      <c r="C36" s="44" t="s">
        <v>2421</v>
      </c>
      <c r="D36" s="44"/>
      <c r="E36" s="44"/>
      <c r="F36" s="44" t="s">
        <v>2422</v>
      </c>
      <c r="G36" s="44" t="s">
        <v>2423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</row>
    <row r="37">
      <c r="A37" s="44" t="s">
        <v>2424</v>
      </c>
      <c r="B37" s="44"/>
      <c r="C37" s="44" t="s">
        <v>2425</v>
      </c>
      <c r="D37" s="45"/>
      <c r="E37" s="45"/>
      <c r="F37" s="45"/>
      <c r="G37" s="44" t="s">
        <v>2426</v>
      </c>
      <c r="H37" s="45"/>
      <c r="I37" s="44" t="s">
        <v>2427</v>
      </c>
      <c r="J37" s="43" t="s">
        <v>2428</v>
      </c>
      <c r="K37" s="44" t="s">
        <v>2429</v>
      </c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</row>
    <row r="38">
      <c r="A38" s="53" t="s">
        <v>2430</v>
      </c>
      <c r="B38" s="54"/>
      <c r="C38" s="54"/>
      <c r="D38" s="54"/>
      <c r="E38" s="54"/>
      <c r="F38" s="54"/>
      <c r="G38" s="53" t="s">
        <v>2431</v>
      </c>
      <c r="H38" s="54"/>
      <c r="I38" s="53" t="s">
        <v>2416</v>
      </c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</row>
    <row r="39">
      <c r="A39" s="21" t="s">
        <v>2432</v>
      </c>
      <c r="G39" s="21" t="s">
        <v>2433</v>
      </c>
    </row>
    <row r="40">
      <c r="A40" s="53" t="s">
        <v>2434</v>
      </c>
      <c r="B40" s="54"/>
      <c r="C40" s="54"/>
      <c r="D40" s="54"/>
      <c r="E40" s="54"/>
      <c r="F40" s="54"/>
      <c r="G40" s="53" t="s">
        <v>2435</v>
      </c>
      <c r="H40" s="54"/>
      <c r="I40" s="54"/>
      <c r="J40" s="53" t="s">
        <v>2436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</row>
    <row r="41">
      <c r="A41" s="21" t="s">
        <v>2437</v>
      </c>
      <c r="G41" s="21" t="s">
        <v>2438</v>
      </c>
      <c r="J41" s="21" t="s">
        <v>2439</v>
      </c>
    </row>
    <row r="42">
      <c r="A42" s="21" t="s">
        <v>2440</v>
      </c>
      <c r="G42" s="21" t="s">
        <v>2441</v>
      </c>
    </row>
    <row r="43">
      <c r="A43" s="21" t="s">
        <v>2442</v>
      </c>
      <c r="G43" s="21" t="s">
        <v>2443</v>
      </c>
    </row>
    <row r="44">
      <c r="A44" s="21" t="s">
        <v>2444</v>
      </c>
      <c r="G44" s="21" t="s">
        <v>2445</v>
      </c>
    </row>
    <row r="45">
      <c r="A45" s="21" t="s">
        <v>2446</v>
      </c>
      <c r="G45" s="21" t="s">
        <v>2447</v>
      </c>
    </row>
    <row r="46">
      <c r="A46" s="21" t="s">
        <v>2448</v>
      </c>
      <c r="G46" s="21" t="s">
        <v>2449</v>
      </c>
    </row>
    <row r="47">
      <c r="A47" s="21" t="s">
        <v>2450</v>
      </c>
      <c r="G47" s="21" t="s">
        <v>2451</v>
      </c>
    </row>
    <row r="48">
      <c r="A48" s="21" t="s">
        <v>2452</v>
      </c>
      <c r="G48" s="21" t="s">
        <v>2453</v>
      </c>
    </row>
    <row r="49">
      <c r="A49" s="21" t="s">
        <v>2454</v>
      </c>
      <c r="G49" s="21" t="s">
        <v>2455</v>
      </c>
    </row>
    <row r="50">
      <c r="A50" s="21" t="s">
        <v>2456</v>
      </c>
      <c r="G50" s="21" t="s">
        <v>2457</v>
      </c>
    </row>
    <row r="52">
      <c r="A52" s="21" t="s">
        <v>2458</v>
      </c>
      <c r="G52" s="21" t="s">
        <v>2459</v>
      </c>
    </row>
  </sheetData>
  <hyperlinks>
    <hyperlink r:id="rId1" ref="K8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24.75"/>
    <col customWidth="1" min="3" max="3" width="18.5"/>
    <col customWidth="1" min="4" max="4" width="22.63"/>
    <col customWidth="1" min="5" max="11" width="18.5"/>
    <col customWidth="1" min="12" max="12" width="26.63"/>
    <col customWidth="1" min="13" max="13" width="18.5"/>
    <col customWidth="1" min="14" max="14" width="23.38"/>
    <col customWidth="1" min="15" max="15" width="22.88"/>
    <col customWidth="1" min="16" max="16" width="25.5"/>
    <col customWidth="1" min="17" max="17" width="54.75"/>
    <col customWidth="1" min="18" max="22" width="18.5"/>
    <col customWidth="1" min="23" max="23" width="24.25"/>
    <col customWidth="1" min="24" max="24" width="24.13"/>
    <col customWidth="1" min="25" max="34" width="18.5"/>
  </cols>
  <sheetData>
    <row r="1">
      <c r="A1" s="120" t="s">
        <v>2460</v>
      </c>
      <c r="B1" s="121" t="s">
        <v>2461</v>
      </c>
      <c r="C1" s="122" t="s">
        <v>2462</v>
      </c>
      <c r="D1" s="123" t="s">
        <v>2463</v>
      </c>
      <c r="E1" s="122" t="s">
        <v>2464</v>
      </c>
      <c r="F1" s="121" t="s">
        <v>2465</v>
      </c>
      <c r="G1" s="121" t="s">
        <v>2466</v>
      </c>
      <c r="H1" s="122" t="s">
        <v>2467</v>
      </c>
      <c r="I1" s="122" t="s">
        <v>2468</v>
      </c>
      <c r="J1" s="122" t="s">
        <v>2469</v>
      </c>
      <c r="K1" s="121" t="s">
        <v>2470</v>
      </c>
      <c r="L1" s="121" t="s">
        <v>2471</v>
      </c>
      <c r="M1" s="122" t="s">
        <v>2472</v>
      </c>
      <c r="N1" s="121" t="s">
        <v>2473</v>
      </c>
      <c r="O1" s="121" t="s">
        <v>2474</v>
      </c>
      <c r="P1" s="121" t="s">
        <v>2475</v>
      </c>
      <c r="Q1" s="122" t="s">
        <v>2476</v>
      </c>
      <c r="R1" s="121" t="s">
        <v>2477</v>
      </c>
      <c r="S1" s="121" t="s">
        <v>2478</v>
      </c>
      <c r="T1" s="122" t="s">
        <v>5</v>
      </c>
      <c r="U1" s="122" t="s">
        <v>7</v>
      </c>
      <c r="V1" s="122" t="s">
        <v>6</v>
      </c>
      <c r="W1" s="121" t="s">
        <v>2479</v>
      </c>
      <c r="X1" s="121" t="s">
        <v>2480</v>
      </c>
      <c r="Y1" s="122" t="s">
        <v>2481</v>
      </c>
      <c r="Z1" s="122" t="s">
        <v>2482</v>
      </c>
      <c r="AA1" s="121" t="s">
        <v>2483</v>
      </c>
      <c r="AB1" s="121" t="s">
        <v>2484</v>
      </c>
      <c r="AC1" s="121" t="s">
        <v>2485</v>
      </c>
      <c r="AD1" s="121" t="s">
        <v>2486</v>
      </c>
      <c r="AE1" s="122" t="s">
        <v>2487</v>
      </c>
      <c r="AF1" s="121" t="s">
        <v>2488</v>
      </c>
      <c r="AG1" s="121" t="s">
        <v>2489</v>
      </c>
      <c r="AH1" s="121" t="s">
        <v>2490</v>
      </c>
    </row>
    <row r="2">
      <c r="B2" s="21" t="s">
        <v>2491</v>
      </c>
      <c r="C2" s="21" t="s">
        <v>2492</v>
      </c>
      <c r="E2" s="21" t="s">
        <v>2493</v>
      </c>
      <c r="H2" s="21" t="s">
        <v>2494</v>
      </c>
      <c r="I2" s="21" t="s">
        <v>104</v>
      </c>
      <c r="J2" s="21">
        <v>5125.0</v>
      </c>
      <c r="K2" s="21">
        <v>4.1247433E8</v>
      </c>
      <c r="L2" s="21" t="s">
        <v>2495</v>
      </c>
      <c r="M2" s="10" t="s">
        <v>2229</v>
      </c>
      <c r="O2" s="16"/>
      <c r="Q2" s="10" t="s">
        <v>2232</v>
      </c>
      <c r="T2" s="10" t="s">
        <v>2233</v>
      </c>
      <c r="U2" s="10" t="s">
        <v>33</v>
      </c>
      <c r="V2" s="10">
        <v>4218.0</v>
      </c>
      <c r="W2" s="18"/>
      <c r="X2" s="18"/>
      <c r="Y2" s="21" t="s">
        <v>2496</v>
      </c>
      <c r="Z2" s="21" t="s">
        <v>2497</v>
      </c>
      <c r="AA2" s="21" t="s">
        <v>2498</v>
      </c>
      <c r="AE2" s="21">
        <v>0.2</v>
      </c>
    </row>
    <row r="3">
      <c r="B3" s="21" t="s">
        <v>2491</v>
      </c>
      <c r="C3" s="21" t="s">
        <v>2492</v>
      </c>
      <c r="E3" s="21" t="s">
        <v>2493</v>
      </c>
      <c r="H3" s="21" t="s">
        <v>2494</v>
      </c>
      <c r="I3" s="21" t="s">
        <v>104</v>
      </c>
      <c r="J3" s="21">
        <v>5125.0</v>
      </c>
      <c r="K3" s="21">
        <v>4.1247433E8</v>
      </c>
      <c r="L3" s="21" t="s">
        <v>2495</v>
      </c>
      <c r="M3" s="10" t="s">
        <v>2234</v>
      </c>
      <c r="O3" s="16"/>
      <c r="Q3" s="10" t="s">
        <v>2236</v>
      </c>
      <c r="T3" s="10" t="s">
        <v>2237</v>
      </c>
      <c r="U3" s="10" t="s">
        <v>50</v>
      </c>
      <c r="V3" s="10">
        <v>2062.0</v>
      </c>
      <c r="W3" s="18"/>
      <c r="X3" s="18"/>
      <c r="Y3" s="21" t="s">
        <v>2496</v>
      </c>
      <c r="Z3" s="21" t="s">
        <v>2497</v>
      </c>
      <c r="AA3" s="21" t="s">
        <v>2498</v>
      </c>
      <c r="AE3" s="21">
        <v>0.2</v>
      </c>
    </row>
    <row r="4">
      <c r="B4" s="21" t="s">
        <v>2491</v>
      </c>
      <c r="C4" s="21" t="s">
        <v>2492</v>
      </c>
      <c r="E4" s="21" t="s">
        <v>2493</v>
      </c>
      <c r="H4" s="21" t="s">
        <v>2494</v>
      </c>
      <c r="I4" s="21" t="s">
        <v>104</v>
      </c>
      <c r="J4" s="21">
        <v>5125.0</v>
      </c>
      <c r="K4" s="21">
        <v>4.1247433E8</v>
      </c>
      <c r="L4" s="21" t="s">
        <v>2495</v>
      </c>
      <c r="M4" s="10" t="s">
        <v>2238</v>
      </c>
      <c r="O4" s="16"/>
      <c r="Q4" s="10" t="s">
        <v>2240</v>
      </c>
      <c r="T4" s="10" t="s">
        <v>2241</v>
      </c>
      <c r="U4" s="10" t="s">
        <v>1217</v>
      </c>
      <c r="V4" s="10">
        <v>7248.0</v>
      </c>
      <c r="W4" s="18"/>
      <c r="X4" s="18"/>
      <c r="Y4" s="21" t="s">
        <v>2496</v>
      </c>
      <c r="Z4" s="21" t="s">
        <v>2497</v>
      </c>
      <c r="AA4" s="21" t="s">
        <v>2498</v>
      </c>
      <c r="AE4" s="21">
        <v>0.2</v>
      </c>
    </row>
    <row r="5">
      <c r="B5" s="21" t="s">
        <v>2491</v>
      </c>
      <c r="C5" s="21" t="s">
        <v>2492</v>
      </c>
      <c r="E5" s="21" t="s">
        <v>2493</v>
      </c>
      <c r="H5" s="21" t="s">
        <v>2494</v>
      </c>
      <c r="I5" s="21" t="s">
        <v>104</v>
      </c>
      <c r="J5" s="21">
        <v>5125.0</v>
      </c>
      <c r="K5" s="21">
        <v>4.1247433E8</v>
      </c>
      <c r="L5" s="21" t="s">
        <v>2495</v>
      </c>
      <c r="M5" s="10" t="s">
        <v>2242</v>
      </c>
      <c r="O5" s="16"/>
      <c r="Q5" s="10" t="s">
        <v>2244</v>
      </c>
      <c r="T5" s="10" t="s">
        <v>2245</v>
      </c>
      <c r="U5" s="10" t="s">
        <v>104</v>
      </c>
      <c r="V5" s="10">
        <v>5501.0</v>
      </c>
      <c r="W5" s="18"/>
      <c r="X5" s="18"/>
      <c r="Y5" s="21" t="s">
        <v>2496</v>
      </c>
      <c r="Z5" s="21" t="s">
        <v>2497</v>
      </c>
      <c r="AA5" s="21" t="s">
        <v>2498</v>
      </c>
      <c r="AE5" s="21">
        <v>0.2</v>
      </c>
    </row>
    <row r="6">
      <c r="B6" s="21" t="s">
        <v>2491</v>
      </c>
      <c r="C6" s="21" t="s">
        <v>2492</v>
      </c>
      <c r="E6" s="21" t="s">
        <v>2493</v>
      </c>
      <c r="H6" s="21" t="s">
        <v>2494</v>
      </c>
      <c r="I6" s="21" t="s">
        <v>104</v>
      </c>
      <c r="J6" s="21">
        <v>5125.0</v>
      </c>
      <c r="K6" s="21">
        <v>4.1247433E8</v>
      </c>
      <c r="L6" s="21" t="s">
        <v>2495</v>
      </c>
      <c r="M6" s="10" t="s">
        <v>2246</v>
      </c>
      <c r="O6" s="16"/>
      <c r="Q6" s="10" t="s">
        <v>2249</v>
      </c>
      <c r="T6" s="10" t="s">
        <v>167</v>
      </c>
      <c r="U6" s="10" t="s">
        <v>19</v>
      </c>
      <c r="V6" s="10">
        <v>3146.0</v>
      </c>
      <c r="W6" s="18"/>
      <c r="X6" s="18"/>
      <c r="Y6" s="21" t="s">
        <v>2496</v>
      </c>
      <c r="Z6" s="21" t="s">
        <v>2497</v>
      </c>
      <c r="AA6" s="21" t="s">
        <v>2498</v>
      </c>
      <c r="AE6" s="21">
        <v>0.2</v>
      </c>
    </row>
    <row r="7">
      <c r="M7" s="10"/>
      <c r="O7" s="16"/>
      <c r="Q7" s="14"/>
      <c r="T7" s="16"/>
      <c r="U7" s="16"/>
      <c r="V7" s="16"/>
      <c r="W7" s="18"/>
      <c r="X7" s="18"/>
    </row>
    <row r="8">
      <c r="M8" s="10"/>
      <c r="O8" s="16"/>
      <c r="Q8" s="16"/>
      <c r="T8" s="16"/>
      <c r="U8" s="16"/>
      <c r="V8" s="16"/>
      <c r="W8" s="18"/>
      <c r="X8" s="18"/>
    </row>
    <row r="9">
      <c r="M9" s="18"/>
      <c r="O9" s="16"/>
      <c r="Q9" s="16"/>
      <c r="T9" s="16"/>
      <c r="U9" s="16"/>
      <c r="V9" s="16"/>
      <c r="W9" s="18"/>
      <c r="X9" s="18"/>
    </row>
    <row r="10">
      <c r="M10" s="14"/>
      <c r="Q10" s="10"/>
      <c r="T10" s="10"/>
      <c r="U10" s="10"/>
      <c r="V10" s="10"/>
    </row>
    <row r="11">
      <c r="M11" s="14"/>
      <c r="Q11" s="10"/>
      <c r="T11" s="10"/>
      <c r="U11" s="10"/>
      <c r="V11" s="10"/>
    </row>
    <row r="12">
      <c r="M12" s="14"/>
      <c r="Q12" s="10"/>
      <c r="T12" s="10"/>
      <c r="U12" s="10"/>
      <c r="V12" s="10"/>
    </row>
    <row r="13">
      <c r="M13" s="14"/>
      <c r="Q13" s="10"/>
      <c r="T13" s="10"/>
      <c r="U13" s="10"/>
      <c r="V13" s="10"/>
    </row>
    <row r="14">
      <c r="M14" s="14"/>
      <c r="Q14" s="10"/>
      <c r="T14" s="10"/>
      <c r="U14" s="10"/>
      <c r="V14" s="10"/>
    </row>
    <row r="15">
      <c r="M15" s="14"/>
      <c r="Q15" s="10"/>
      <c r="T15" s="10"/>
      <c r="U15" s="10"/>
      <c r="V15" s="10"/>
    </row>
    <row r="16">
      <c r="M16" s="14"/>
      <c r="Q16" s="10"/>
      <c r="T16" s="10"/>
      <c r="U16" s="10"/>
      <c r="V16" s="10"/>
    </row>
    <row r="17">
      <c r="M17" s="14"/>
      <c r="Q17" s="10"/>
      <c r="T17" s="10"/>
      <c r="U17" s="10"/>
      <c r="V17" s="10"/>
    </row>
    <row r="18">
      <c r="M18" s="14"/>
      <c r="Q18" s="10"/>
      <c r="T18" s="10"/>
      <c r="U18" s="10"/>
      <c r="V18" s="10"/>
    </row>
    <row r="19">
      <c r="M19" s="14"/>
      <c r="Q19" s="10"/>
      <c r="T19" s="10"/>
      <c r="U19" s="10"/>
      <c r="V19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24.25"/>
    <col customWidth="1" min="3" max="3" width="30.25"/>
    <col customWidth="1" min="4" max="4" width="13.75"/>
    <col customWidth="1" min="5" max="5" width="24.25"/>
    <col customWidth="1" min="6" max="6" width="19.13"/>
  </cols>
  <sheetData>
    <row r="1">
      <c r="A1" s="124">
        <v>45411.0</v>
      </c>
      <c r="B1" s="125" t="s">
        <v>1</v>
      </c>
      <c r="C1" s="125" t="s">
        <v>2499</v>
      </c>
      <c r="D1" s="126" t="s">
        <v>2500</v>
      </c>
      <c r="E1" s="126" t="s">
        <v>2501</v>
      </c>
      <c r="F1" s="10"/>
      <c r="G1" s="10"/>
      <c r="H1" s="12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>
      <c r="A2" s="127" t="s">
        <v>1301</v>
      </c>
      <c r="B2" s="14" t="s">
        <v>1302</v>
      </c>
      <c r="C2" s="128" t="s">
        <v>1059</v>
      </c>
      <c r="D2" s="10" t="s">
        <v>2502</v>
      </c>
      <c r="E2" s="10"/>
      <c r="F2" s="10"/>
      <c r="G2" s="10"/>
      <c r="H2" s="12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>
      <c r="A3" s="46" t="s">
        <v>2503</v>
      </c>
      <c r="B3" s="21" t="s">
        <v>656</v>
      </c>
      <c r="C3" s="106" t="s">
        <v>1959</v>
      </c>
      <c r="D3" s="12" t="s">
        <v>2504</v>
      </c>
      <c r="E3" s="12"/>
      <c r="F3" s="12"/>
      <c r="G3" s="12"/>
      <c r="H3" s="12"/>
    </row>
    <row r="4">
      <c r="A4" s="46" t="s">
        <v>1964</v>
      </c>
      <c r="B4" s="21" t="s">
        <v>1965</v>
      </c>
      <c r="C4" s="106" t="s">
        <v>1059</v>
      </c>
      <c r="E4" s="21" t="s">
        <v>15</v>
      </c>
      <c r="F4" s="129"/>
      <c r="G4" s="12"/>
      <c r="H4" s="12"/>
    </row>
    <row r="5">
      <c r="A5" s="130" t="s">
        <v>1352</v>
      </c>
      <c r="B5" s="14" t="s">
        <v>1353</v>
      </c>
      <c r="C5" s="128" t="s">
        <v>1221</v>
      </c>
      <c r="D5" s="10" t="s">
        <v>2505</v>
      </c>
      <c r="E5" s="10"/>
      <c r="F5" s="10"/>
      <c r="G5" s="10"/>
      <c r="H5" s="12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>
      <c r="A6" s="130" t="s">
        <v>1357</v>
      </c>
      <c r="B6" s="14" t="s">
        <v>1358</v>
      </c>
      <c r="C6" s="128" t="s">
        <v>1038</v>
      </c>
      <c r="D6" s="10" t="s">
        <v>2506</v>
      </c>
      <c r="E6" s="10"/>
      <c r="F6" s="10"/>
      <c r="G6" s="10"/>
      <c r="H6" s="12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>
      <c r="A7" s="130" t="s">
        <v>1362</v>
      </c>
      <c r="B7" s="14" t="s">
        <v>1363</v>
      </c>
      <c r="C7" s="128" t="s">
        <v>1214</v>
      </c>
      <c r="D7" s="10" t="s">
        <v>2507</v>
      </c>
      <c r="E7" s="10"/>
      <c r="F7" s="10"/>
      <c r="G7" s="10"/>
      <c r="H7" s="12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>
      <c r="A8" s="131" t="s">
        <v>2039</v>
      </c>
      <c r="B8" s="21" t="s">
        <v>2040</v>
      </c>
      <c r="C8" s="106" t="s">
        <v>1000</v>
      </c>
      <c r="D8" s="132" t="s">
        <v>2508</v>
      </c>
      <c r="G8" s="12"/>
      <c r="H8" s="12"/>
    </row>
    <row r="9">
      <c r="A9" s="131" t="s">
        <v>2043</v>
      </c>
      <c r="B9" s="21" t="s">
        <v>2044</v>
      </c>
      <c r="C9" s="106" t="s">
        <v>1059</v>
      </c>
      <c r="D9" s="21" t="s">
        <v>2509</v>
      </c>
      <c r="G9" s="12"/>
      <c r="H9" s="12"/>
    </row>
    <row r="10">
      <c r="A10" s="64" t="s">
        <v>2047</v>
      </c>
      <c r="B10" s="23" t="s">
        <v>2048</v>
      </c>
      <c r="C10" s="106" t="s">
        <v>1000</v>
      </c>
      <c r="D10" s="23"/>
      <c r="E10" s="103"/>
      <c r="F10" s="23"/>
      <c r="G10" s="23"/>
      <c r="H10" s="12"/>
      <c r="J10" s="24"/>
      <c r="K10" s="24"/>
      <c r="L10" s="24"/>
      <c r="M10" s="24"/>
      <c r="N10" s="24"/>
    </row>
    <row r="11">
      <c r="A11" s="130" t="s">
        <v>2051</v>
      </c>
      <c r="B11" s="14" t="s">
        <v>2052</v>
      </c>
      <c r="C11" s="128" t="s">
        <v>1000</v>
      </c>
      <c r="D11" s="10" t="s">
        <v>2510</v>
      </c>
      <c r="E11" s="10"/>
      <c r="F11" s="11"/>
      <c r="G11" s="10"/>
      <c r="H11" s="10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>
      <c r="A12" s="131" t="s">
        <v>2055</v>
      </c>
      <c r="B12" s="21" t="s">
        <v>2056</v>
      </c>
      <c r="C12" s="106" t="s">
        <v>2057</v>
      </c>
      <c r="D12" s="132" t="s">
        <v>2508</v>
      </c>
      <c r="G12" s="12"/>
    </row>
    <row r="13">
      <c r="A13" s="131" t="s">
        <v>2511</v>
      </c>
      <c r="B13" s="21" t="s">
        <v>2060</v>
      </c>
      <c r="C13" s="106" t="s">
        <v>1736</v>
      </c>
      <c r="D13" s="21" t="s">
        <v>2512</v>
      </c>
      <c r="G13" s="12"/>
    </row>
    <row r="14">
      <c r="A14" s="131" t="s">
        <v>2064</v>
      </c>
      <c r="B14" s="21" t="s">
        <v>2065</v>
      </c>
      <c r="C14" s="106" t="s">
        <v>2066</v>
      </c>
      <c r="G14" s="12"/>
    </row>
    <row r="15">
      <c r="A15" s="131" t="s">
        <v>2069</v>
      </c>
      <c r="B15" s="21" t="s">
        <v>2070</v>
      </c>
      <c r="C15" s="106" t="s">
        <v>1038</v>
      </c>
      <c r="D15" s="21" t="s">
        <v>2513</v>
      </c>
      <c r="G15" s="12"/>
    </row>
    <row r="16">
      <c r="A16" s="131" t="s">
        <v>2074</v>
      </c>
      <c r="B16" s="21" t="s">
        <v>2075</v>
      </c>
      <c r="C16" s="106" t="s">
        <v>1038</v>
      </c>
      <c r="D16" s="21" t="s">
        <v>2514</v>
      </c>
      <c r="G16" s="12"/>
    </row>
    <row r="17">
      <c r="A17" s="131" t="s">
        <v>2079</v>
      </c>
      <c r="B17" s="21" t="s">
        <v>2080</v>
      </c>
      <c r="C17" s="106" t="s">
        <v>1214</v>
      </c>
      <c r="D17" s="132" t="s">
        <v>2508</v>
      </c>
      <c r="G17" s="12"/>
      <c r="K17" s="21"/>
    </row>
    <row r="18">
      <c r="A18" s="131" t="s">
        <v>2083</v>
      </c>
      <c r="B18" s="21" t="s">
        <v>2084</v>
      </c>
      <c r="C18" s="106" t="s">
        <v>1059</v>
      </c>
      <c r="D18" s="21" t="s">
        <v>2515</v>
      </c>
      <c r="G18" s="12"/>
      <c r="K18" s="21"/>
    </row>
    <row r="20">
      <c r="A20" s="21" t="s">
        <v>2347</v>
      </c>
      <c r="D20" s="21" t="s">
        <v>2516</v>
      </c>
      <c r="E20" s="21" t="s">
        <v>2517</v>
      </c>
      <c r="F20" s="21" t="s">
        <v>2350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1.13"/>
    <col customWidth="1" min="10" max="10" width="26.63"/>
    <col customWidth="1" min="11" max="73" width="21.13"/>
  </cols>
  <sheetData>
    <row r="1">
      <c r="A1" s="133" t="s">
        <v>2462</v>
      </c>
      <c r="B1" s="133" t="s">
        <v>2463</v>
      </c>
      <c r="C1" s="133" t="s">
        <v>2464</v>
      </c>
      <c r="D1" s="133" t="s">
        <v>2465</v>
      </c>
      <c r="E1" s="133" t="s">
        <v>2466</v>
      </c>
      <c r="F1" s="133" t="s">
        <v>2467</v>
      </c>
      <c r="G1" s="133" t="s">
        <v>2468</v>
      </c>
      <c r="H1" s="133" t="s">
        <v>2469</v>
      </c>
      <c r="I1" s="133" t="s">
        <v>2470</v>
      </c>
      <c r="J1" s="133" t="s">
        <v>2471</v>
      </c>
      <c r="K1" s="134" t="s">
        <v>2472</v>
      </c>
      <c r="L1" s="133" t="s">
        <v>2473</v>
      </c>
      <c r="M1" s="133" t="s">
        <v>2474</v>
      </c>
      <c r="N1" s="133" t="s">
        <v>2475</v>
      </c>
      <c r="O1" s="134" t="s">
        <v>2518</v>
      </c>
      <c r="P1" s="134" t="s">
        <v>2476</v>
      </c>
      <c r="Q1" s="133" t="s">
        <v>2477</v>
      </c>
      <c r="R1" s="133" t="s">
        <v>2478</v>
      </c>
      <c r="S1" s="134" t="s">
        <v>5</v>
      </c>
      <c r="T1" s="134" t="s">
        <v>7</v>
      </c>
      <c r="U1" s="134" t="s">
        <v>6</v>
      </c>
      <c r="V1" s="133" t="s">
        <v>2479</v>
      </c>
      <c r="W1" s="133" t="s">
        <v>2480</v>
      </c>
      <c r="X1" s="133" t="s">
        <v>2481</v>
      </c>
      <c r="Y1" s="133" t="s">
        <v>2482</v>
      </c>
      <c r="Z1" s="133" t="s">
        <v>2483</v>
      </c>
      <c r="AA1" s="133" t="s">
        <v>2484</v>
      </c>
      <c r="AB1" s="133" t="s">
        <v>2485</v>
      </c>
      <c r="AC1" s="133" t="s">
        <v>2486</v>
      </c>
      <c r="AD1" s="133" t="s">
        <v>2487</v>
      </c>
      <c r="AE1" s="133" t="s">
        <v>2488</v>
      </c>
      <c r="AF1" s="133" t="s">
        <v>2489</v>
      </c>
      <c r="AG1" s="133" t="s">
        <v>2490</v>
      </c>
      <c r="AH1" s="133" t="s">
        <v>2519</v>
      </c>
      <c r="AI1" s="133" t="s">
        <v>2520</v>
      </c>
      <c r="AJ1" s="133" t="s">
        <v>2521</v>
      </c>
      <c r="AK1" s="133" t="s">
        <v>2522</v>
      </c>
      <c r="AL1" s="133" t="s">
        <v>2523</v>
      </c>
      <c r="AM1" s="133" t="s">
        <v>2524</v>
      </c>
      <c r="AN1" s="133" t="s">
        <v>2525</v>
      </c>
      <c r="AO1" s="133" t="s">
        <v>2526</v>
      </c>
      <c r="AP1" s="133" t="s">
        <v>2527</v>
      </c>
      <c r="AQ1" s="133" t="s">
        <v>2528</v>
      </c>
      <c r="AR1" s="133" t="s">
        <v>2529</v>
      </c>
      <c r="AS1" s="133" t="s">
        <v>2530</v>
      </c>
      <c r="AT1" s="133" t="s">
        <v>2531</v>
      </c>
      <c r="AU1" s="133" t="s">
        <v>2532</v>
      </c>
      <c r="AV1" s="133" t="s">
        <v>2533</v>
      </c>
      <c r="AW1" s="133" t="s">
        <v>2534</v>
      </c>
      <c r="AX1" s="133" t="s">
        <v>2535</v>
      </c>
      <c r="AY1" s="133" t="s">
        <v>2536</v>
      </c>
      <c r="AZ1" s="133" t="s">
        <v>2537</v>
      </c>
      <c r="BA1" s="133" t="s">
        <v>2538</v>
      </c>
      <c r="BB1" s="133" t="s">
        <v>2539</v>
      </c>
      <c r="BC1" s="133" t="s">
        <v>2540</v>
      </c>
      <c r="BD1" s="133" t="s">
        <v>2541</v>
      </c>
      <c r="BE1" s="133" t="s">
        <v>2542</v>
      </c>
      <c r="BF1" s="133" t="s">
        <v>2543</v>
      </c>
      <c r="BG1" s="133" t="s">
        <v>2544</v>
      </c>
      <c r="BH1" s="133" t="s">
        <v>2545</v>
      </c>
      <c r="BI1" s="133" t="s">
        <v>2546</v>
      </c>
      <c r="BJ1" s="133" t="s">
        <v>2547</v>
      </c>
      <c r="BK1" s="133" t="s">
        <v>2548</v>
      </c>
      <c r="BL1" s="133" t="s">
        <v>2549</v>
      </c>
      <c r="BM1" s="133" t="s">
        <v>2461</v>
      </c>
      <c r="BN1" s="133" t="s">
        <v>2550</v>
      </c>
      <c r="BO1" s="133" t="s">
        <v>2460</v>
      </c>
      <c r="BP1" s="133" t="s">
        <v>2551</v>
      </c>
      <c r="BQ1" s="133" t="s">
        <v>2552</v>
      </c>
      <c r="BR1" s="133" t="s">
        <v>2553</v>
      </c>
      <c r="BS1" s="133" t="s">
        <v>2554</v>
      </c>
      <c r="BT1" s="133" t="s">
        <v>2555</v>
      </c>
      <c r="BU1" s="133" t="s">
        <v>2556</v>
      </c>
    </row>
    <row r="2">
      <c r="A2" s="21" t="s">
        <v>2492</v>
      </c>
      <c r="C2" s="21" t="s">
        <v>2493</v>
      </c>
      <c r="F2" s="21" t="s">
        <v>2494</v>
      </c>
      <c r="G2" s="21" t="s">
        <v>104</v>
      </c>
      <c r="H2" s="21">
        <v>5125.0</v>
      </c>
      <c r="I2" s="135">
        <f t="shared" ref="I2:I26" si="1">61412474330</f>
        <v>61412474330</v>
      </c>
      <c r="J2" s="21" t="s">
        <v>2495</v>
      </c>
      <c r="K2" s="21" t="s">
        <v>394</v>
      </c>
      <c r="O2" s="21" t="s">
        <v>400</v>
      </c>
      <c r="P2" s="21" t="s">
        <v>2557</v>
      </c>
      <c r="S2" s="21" t="s">
        <v>1970</v>
      </c>
      <c r="T2" s="21" t="s">
        <v>399</v>
      </c>
      <c r="U2" s="21" t="s">
        <v>1971</v>
      </c>
      <c r="W2" s="21" t="s">
        <v>2558</v>
      </c>
      <c r="X2" s="21" t="s">
        <v>2559</v>
      </c>
      <c r="Y2" s="21" t="s">
        <v>2560</v>
      </c>
      <c r="Z2" s="21" t="s">
        <v>983</v>
      </c>
      <c r="AA2" s="21">
        <v>26.0</v>
      </c>
      <c r="AB2" s="21">
        <v>15.0</v>
      </c>
      <c r="AC2" s="21">
        <v>8.0</v>
      </c>
      <c r="AD2" s="21">
        <f t="shared" ref="AD2:AD3" si="2">AP2+0.1</f>
        <v>0.6</v>
      </c>
      <c r="AE2" s="21" t="s">
        <v>2491</v>
      </c>
      <c r="AF2" s="21" t="s">
        <v>2491</v>
      </c>
      <c r="AH2" s="21" t="s">
        <v>2561</v>
      </c>
      <c r="AI2" s="136" t="s">
        <v>2562</v>
      </c>
      <c r="AJ2" s="21" t="s">
        <v>2563</v>
      </c>
      <c r="AK2" s="21" t="s">
        <v>2563</v>
      </c>
      <c r="AO2" s="21" t="s">
        <v>2564</v>
      </c>
      <c r="AP2" s="21">
        <v>0.5</v>
      </c>
      <c r="AQ2" s="21">
        <v>29.0</v>
      </c>
      <c r="AR2" s="21">
        <v>1.0</v>
      </c>
      <c r="AS2" s="21" t="s">
        <v>20</v>
      </c>
      <c r="AT2" s="21">
        <v>190120.0</v>
      </c>
    </row>
    <row r="3">
      <c r="A3" s="21" t="s">
        <v>2492</v>
      </c>
      <c r="C3" s="21" t="s">
        <v>2493</v>
      </c>
      <c r="F3" s="21" t="s">
        <v>2494</v>
      </c>
      <c r="G3" s="21" t="s">
        <v>104</v>
      </c>
      <c r="H3" s="21">
        <v>5125.0</v>
      </c>
      <c r="I3" s="135">
        <f t="shared" si="1"/>
        <v>61412474330</v>
      </c>
      <c r="J3" s="21" t="s">
        <v>2495</v>
      </c>
      <c r="K3" s="21" t="s">
        <v>1973</v>
      </c>
      <c r="O3" s="21" t="s">
        <v>400</v>
      </c>
      <c r="P3" s="21" t="s">
        <v>1975</v>
      </c>
      <c r="S3" s="21" t="s">
        <v>436</v>
      </c>
      <c r="T3" s="21" t="s">
        <v>399</v>
      </c>
      <c r="U3" s="12">
        <v>75204.0</v>
      </c>
      <c r="W3" s="21" t="s">
        <v>2558</v>
      </c>
      <c r="X3" s="21" t="s">
        <v>2559</v>
      </c>
      <c r="Y3" s="21" t="s">
        <v>2560</v>
      </c>
      <c r="Z3" s="21" t="s">
        <v>472</v>
      </c>
      <c r="AA3" s="21">
        <v>26.0</v>
      </c>
      <c r="AB3" s="21">
        <v>15.0</v>
      </c>
      <c r="AC3" s="21">
        <v>8.0</v>
      </c>
      <c r="AD3" s="21">
        <f t="shared" si="2"/>
        <v>0.6</v>
      </c>
      <c r="AE3" s="18" t="s">
        <v>2491</v>
      </c>
      <c r="AF3" s="18" t="s">
        <v>2491</v>
      </c>
      <c r="AG3" s="18"/>
      <c r="AH3" s="21" t="s">
        <v>2561</v>
      </c>
      <c r="AI3" s="136" t="s">
        <v>2562</v>
      </c>
      <c r="AJ3" s="21" t="s">
        <v>2563</v>
      </c>
      <c r="AK3" s="21" t="s">
        <v>2563</v>
      </c>
      <c r="AO3" s="21" t="s">
        <v>2564</v>
      </c>
      <c r="AP3" s="21">
        <v>0.5</v>
      </c>
      <c r="AQ3" s="21">
        <v>29.0</v>
      </c>
      <c r="AR3" s="21">
        <v>1.0</v>
      </c>
      <c r="AS3" s="21" t="s">
        <v>20</v>
      </c>
      <c r="AT3" s="21">
        <v>190120.0</v>
      </c>
    </row>
    <row r="4">
      <c r="A4" s="21" t="s">
        <v>2492</v>
      </c>
      <c r="C4" s="21" t="s">
        <v>2493</v>
      </c>
      <c r="F4" s="21" t="s">
        <v>2494</v>
      </c>
      <c r="G4" s="21" t="s">
        <v>104</v>
      </c>
      <c r="H4" s="21">
        <v>5125.0</v>
      </c>
      <c r="I4" s="135">
        <f t="shared" si="1"/>
        <v>61412474330</v>
      </c>
      <c r="J4" s="21" t="s">
        <v>2495</v>
      </c>
      <c r="K4" s="21" t="s">
        <v>2039</v>
      </c>
      <c r="O4" s="12" t="s">
        <v>408</v>
      </c>
      <c r="P4" s="21" t="s">
        <v>2041</v>
      </c>
      <c r="S4" s="21" t="s">
        <v>2042</v>
      </c>
      <c r="U4" s="12">
        <v>3800.0</v>
      </c>
      <c r="W4" s="21" t="s">
        <v>2558</v>
      </c>
      <c r="X4" s="21" t="s">
        <v>2559</v>
      </c>
      <c r="Y4" s="21" t="s">
        <v>2560</v>
      </c>
      <c r="Z4" s="106" t="s">
        <v>1000</v>
      </c>
      <c r="AA4" s="21">
        <v>31.0</v>
      </c>
      <c r="AB4" s="21">
        <v>22.0</v>
      </c>
      <c r="AC4" s="21">
        <v>10.0</v>
      </c>
      <c r="AD4" s="21">
        <f t="shared" ref="AD4:AD14" si="3">AP4+0.2</f>
        <v>2.2</v>
      </c>
      <c r="AE4" s="21" t="s">
        <v>2491</v>
      </c>
      <c r="AF4" s="21" t="s">
        <v>2491</v>
      </c>
      <c r="AH4" s="21" t="s">
        <v>2561</v>
      </c>
      <c r="AI4" s="136" t="s">
        <v>2562</v>
      </c>
      <c r="AJ4" s="21" t="s">
        <v>2563</v>
      </c>
      <c r="AK4" s="21" t="s">
        <v>2563</v>
      </c>
      <c r="AO4" s="21" t="s">
        <v>2564</v>
      </c>
      <c r="AP4" s="21">
        <v>2.0</v>
      </c>
      <c r="AQ4" s="21">
        <v>29.0</v>
      </c>
      <c r="AR4" s="21">
        <v>1.0</v>
      </c>
      <c r="AS4" s="21" t="s">
        <v>20</v>
      </c>
      <c r="AT4" s="21">
        <v>190120.0</v>
      </c>
    </row>
    <row r="5">
      <c r="A5" s="21" t="s">
        <v>2492</v>
      </c>
      <c r="C5" s="21" t="s">
        <v>2493</v>
      </c>
      <c r="F5" s="21" t="s">
        <v>2494</v>
      </c>
      <c r="G5" s="21" t="s">
        <v>104</v>
      </c>
      <c r="H5" s="21">
        <v>5125.0</v>
      </c>
      <c r="I5" s="135">
        <f t="shared" si="1"/>
        <v>61412474330</v>
      </c>
      <c r="J5" s="21" t="s">
        <v>2495</v>
      </c>
      <c r="K5" s="21" t="s">
        <v>2043</v>
      </c>
      <c r="O5" s="12" t="s">
        <v>408</v>
      </c>
      <c r="P5" s="21" t="s">
        <v>2045</v>
      </c>
      <c r="S5" s="21" t="s">
        <v>2046</v>
      </c>
      <c r="U5" s="12">
        <v>3118.0</v>
      </c>
      <c r="W5" s="21" t="s">
        <v>2558</v>
      </c>
      <c r="X5" s="21" t="s">
        <v>2559</v>
      </c>
      <c r="Y5" s="21" t="s">
        <v>2560</v>
      </c>
      <c r="Z5" s="106" t="s">
        <v>1059</v>
      </c>
      <c r="AA5" s="21">
        <v>36.0</v>
      </c>
      <c r="AB5" s="21">
        <v>26.0</v>
      </c>
      <c r="AC5" s="21">
        <v>10.0</v>
      </c>
      <c r="AD5" s="21">
        <f t="shared" si="3"/>
        <v>2.6</v>
      </c>
      <c r="AE5" s="18" t="s">
        <v>2491</v>
      </c>
      <c r="AF5" s="18" t="s">
        <v>2491</v>
      </c>
      <c r="AG5" s="18"/>
      <c r="AH5" s="21" t="s">
        <v>2561</v>
      </c>
      <c r="AI5" s="136" t="s">
        <v>2562</v>
      </c>
      <c r="AJ5" s="21" t="s">
        <v>2563</v>
      </c>
      <c r="AK5" s="21" t="s">
        <v>2563</v>
      </c>
      <c r="AO5" s="21" t="s">
        <v>2564</v>
      </c>
      <c r="AP5" s="21">
        <v>2.4</v>
      </c>
      <c r="AQ5" s="21">
        <v>29.0</v>
      </c>
      <c r="AR5" s="21">
        <v>1.0</v>
      </c>
      <c r="AS5" s="21" t="s">
        <v>20</v>
      </c>
      <c r="AT5" s="21">
        <v>190120.0</v>
      </c>
    </row>
    <row r="6">
      <c r="A6" s="21" t="s">
        <v>2492</v>
      </c>
      <c r="C6" s="21" t="s">
        <v>2493</v>
      </c>
      <c r="F6" s="21" t="s">
        <v>2494</v>
      </c>
      <c r="G6" s="21" t="s">
        <v>104</v>
      </c>
      <c r="H6" s="21">
        <v>5125.0</v>
      </c>
      <c r="I6" s="135">
        <f t="shared" si="1"/>
        <v>61412474330</v>
      </c>
      <c r="J6" s="21" t="s">
        <v>2495</v>
      </c>
      <c r="K6" s="23" t="s">
        <v>2047</v>
      </c>
      <c r="O6" s="12" t="s">
        <v>408</v>
      </c>
      <c r="P6" s="23" t="s">
        <v>2049</v>
      </c>
      <c r="S6" s="103" t="s">
        <v>2050</v>
      </c>
      <c r="T6" s="23" t="s">
        <v>667</v>
      </c>
      <c r="U6" s="23">
        <v>632.0</v>
      </c>
      <c r="W6" s="21" t="s">
        <v>2558</v>
      </c>
      <c r="X6" s="21" t="s">
        <v>2559</v>
      </c>
      <c r="Y6" s="21" t="s">
        <v>2560</v>
      </c>
      <c r="Z6" s="106" t="s">
        <v>1000</v>
      </c>
      <c r="AA6" s="21">
        <v>31.0</v>
      </c>
      <c r="AB6" s="21">
        <v>22.0</v>
      </c>
      <c r="AC6" s="21">
        <v>10.0</v>
      </c>
      <c r="AD6" s="21">
        <f t="shared" si="3"/>
        <v>2.2</v>
      </c>
      <c r="AE6" s="21" t="s">
        <v>2491</v>
      </c>
      <c r="AF6" s="21" t="s">
        <v>2491</v>
      </c>
      <c r="AH6" s="21" t="s">
        <v>2561</v>
      </c>
      <c r="AI6" s="136" t="s">
        <v>2562</v>
      </c>
      <c r="AJ6" s="21" t="s">
        <v>2563</v>
      </c>
      <c r="AK6" s="21" t="s">
        <v>2563</v>
      </c>
      <c r="AO6" s="21" t="s">
        <v>2564</v>
      </c>
      <c r="AP6" s="21">
        <v>2.0</v>
      </c>
      <c r="AQ6" s="21">
        <v>29.0</v>
      </c>
      <c r="AR6" s="21">
        <v>1.0</v>
      </c>
      <c r="AS6" s="21" t="s">
        <v>20</v>
      </c>
      <c r="AT6" s="21">
        <v>190120.0</v>
      </c>
    </row>
    <row r="7">
      <c r="A7" s="21" t="s">
        <v>2492</v>
      </c>
      <c r="C7" s="21" t="s">
        <v>2493</v>
      </c>
      <c r="F7" s="21" t="s">
        <v>2494</v>
      </c>
      <c r="G7" s="21" t="s">
        <v>104</v>
      </c>
      <c r="H7" s="21">
        <v>5125.0</v>
      </c>
      <c r="I7" s="135">
        <f t="shared" si="1"/>
        <v>61412474330</v>
      </c>
      <c r="J7" s="21" t="s">
        <v>2495</v>
      </c>
      <c r="K7" s="14" t="s">
        <v>2051</v>
      </c>
      <c r="O7" s="12" t="s">
        <v>408</v>
      </c>
      <c r="P7" s="10" t="s">
        <v>2053</v>
      </c>
      <c r="S7" s="10" t="s">
        <v>2054</v>
      </c>
      <c r="T7" s="11"/>
      <c r="U7" s="10">
        <v>4310.0</v>
      </c>
      <c r="W7" s="21" t="s">
        <v>2558</v>
      </c>
      <c r="X7" s="21" t="s">
        <v>2559</v>
      </c>
      <c r="Y7" s="21" t="s">
        <v>2560</v>
      </c>
      <c r="Z7" s="128" t="s">
        <v>1000</v>
      </c>
      <c r="AA7" s="21">
        <v>31.0</v>
      </c>
      <c r="AB7" s="21">
        <v>22.0</v>
      </c>
      <c r="AC7" s="21">
        <v>10.0</v>
      </c>
      <c r="AD7" s="21">
        <f t="shared" si="3"/>
        <v>2.2</v>
      </c>
      <c r="AE7" s="18" t="s">
        <v>2491</v>
      </c>
      <c r="AF7" s="18" t="s">
        <v>2491</v>
      </c>
      <c r="AG7" s="18"/>
      <c r="AH7" s="21" t="s">
        <v>2561</v>
      </c>
      <c r="AI7" s="136" t="s">
        <v>2562</v>
      </c>
      <c r="AJ7" s="21" t="s">
        <v>2563</v>
      </c>
      <c r="AK7" s="21" t="s">
        <v>2563</v>
      </c>
      <c r="AO7" s="21" t="s">
        <v>2564</v>
      </c>
      <c r="AP7" s="21">
        <v>2.0</v>
      </c>
      <c r="AQ7" s="21">
        <v>29.0</v>
      </c>
      <c r="AR7" s="21">
        <v>1.0</v>
      </c>
      <c r="AS7" s="21" t="s">
        <v>20</v>
      </c>
      <c r="AT7" s="21">
        <v>190120.0</v>
      </c>
    </row>
    <row r="8">
      <c r="A8" s="21" t="s">
        <v>2492</v>
      </c>
      <c r="C8" s="21" t="s">
        <v>2493</v>
      </c>
      <c r="F8" s="21" t="s">
        <v>2494</v>
      </c>
      <c r="G8" s="21" t="s">
        <v>104</v>
      </c>
      <c r="H8" s="21">
        <v>5125.0</v>
      </c>
      <c r="I8" s="135">
        <f t="shared" si="1"/>
        <v>61412474330</v>
      </c>
      <c r="J8" s="21" t="s">
        <v>2495</v>
      </c>
      <c r="K8" s="21" t="s">
        <v>2055</v>
      </c>
      <c r="O8" s="12" t="s">
        <v>408</v>
      </c>
      <c r="P8" s="21" t="s">
        <v>2058</v>
      </c>
      <c r="S8" s="21" t="s">
        <v>430</v>
      </c>
      <c r="U8" s="12">
        <v>4310.0</v>
      </c>
      <c r="W8" s="21" t="s">
        <v>2558</v>
      </c>
      <c r="X8" s="21" t="s">
        <v>2559</v>
      </c>
      <c r="Y8" s="21" t="s">
        <v>2560</v>
      </c>
      <c r="Z8" s="106" t="s">
        <v>2057</v>
      </c>
      <c r="AA8" s="21">
        <v>36.0</v>
      </c>
      <c r="AB8" s="21">
        <v>26.0</v>
      </c>
      <c r="AC8" s="21">
        <v>10.0</v>
      </c>
      <c r="AD8" s="21">
        <f t="shared" si="3"/>
        <v>3.6</v>
      </c>
      <c r="AE8" s="21" t="s">
        <v>2491</v>
      </c>
      <c r="AF8" s="21" t="s">
        <v>2491</v>
      </c>
      <c r="AH8" s="21" t="s">
        <v>2561</v>
      </c>
      <c r="AI8" s="136" t="s">
        <v>2562</v>
      </c>
      <c r="AJ8" s="21" t="s">
        <v>2563</v>
      </c>
      <c r="AK8" s="21" t="s">
        <v>2563</v>
      </c>
      <c r="AO8" s="21" t="s">
        <v>2564</v>
      </c>
      <c r="AP8" s="21">
        <v>3.4</v>
      </c>
      <c r="AQ8" s="21">
        <v>29.0</v>
      </c>
      <c r="AR8" s="21">
        <v>1.0</v>
      </c>
      <c r="AS8" s="21" t="s">
        <v>20</v>
      </c>
      <c r="AT8" s="21">
        <v>190120.0</v>
      </c>
    </row>
    <row r="9">
      <c r="A9" s="21" t="s">
        <v>2492</v>
      </c>
      <c r="C9" s="21" t="s">
        <v>2493</v>
      </c>
      <c r="F9" s="21" t="s">
        <v>2494</v>
      </c>
      <c r="G9" s="21" t="s">
        <v>104</v>
      </c>
      <c r="H9" s="21">
        <v>5125.0</v>
      </c>
      <c r="I9" s="135">
        <f t="shared" si="1"/>
        <v>61412474330</v>
      </c>
      <c r="J9" s="21" t="s">
        <v>2495</v>
      </c>
      <c r="K9" s="21" t="s">
        <v>2511</v>
      </c>
      <c r="O9" s="12" t="s">
        <v>408</v>
      </c>
      <c r="P9" s="21" t="s">
        <v>2061</v>
      </c>
      <c r="S9" s="21" t="s">
        <v>2062</v>
      </c>
      <c r="U9" s="12">
        <v>4674.0</v>
      </c>
      <c r="W9" s="21" t="s">
        <v>2558</v>
      </c>
      <c r="X9" s="21" t="s">
        <v>2559</v>
      </c>
      <c r="Y9" s="21" t="s">
        <v>2560</v>
      </c>
      <c r="Z9" s="106" t="s">
        <v>1736</v>
      </c>
      <c r="AA9" s="21">
        <v>26.0</v>
      </c>
      <c r="AB9" s="21">
        <v>18.0</v>
      </c>
      <c r="AC9" s="21">
        <v>10.0</v>
      </c>
      <c r="AD9" s="21">
        <f t="shared" si="3"/>
        <v>1.4</v>
      </c>
      <c r="AE9" s="18" t="s">
        <v>2491</v>
      </c>
      <c r="AF9" s="18" t="s">
        <v>2491</v>
      </c>
      <c r="AG9" s="18"/>
      <c r="AH9" s="21" t="s">
        <v>2561</v>
      </c>
      <c r="AI9" s="136" t="s">
        <v>2562</v>
      </c>
      <c r="AJ9" s="21" t="s">
        <v>2563</v>
      </c>
      <c r="AK9" s="21" t="s">
        <v>2563</v>
      </c>
      <c r="AO9" s="21" t="s">
        <v>2564</v>
      </c>
      <c r="AP9" s="21">
        <v>1.2</v>
      </c>
      <c r="AQ9" s="21">
        <v>29.0</v>
      </c>
      <c r="AR9" s="21">
        <v>1.0</v>
      </c>
      <c r="AS9" s="21" t="s">
        <v>20</v>
      </c>
      <c r="AT9" s="21">
        <v>190120.0</v>
      </c>
    </row>
    <row r="10">
      <c r="A10" s="21" t="s">
        <v>2492</v>
      </c>
      <c r="C10" s="21" t="s">
        <v>2493</v>
      </c>
      <c r="F10" s="21" t="s">
        <v>2494</v>
      </c>
      <c r="G10" s="21" t="s">
        <v>104</v>
      </c>
      <c r="H10" s="21">
        <v>5125.0</v>
      </c>
      <c r="I10" s="135">
        <f t="shared" si="1"/>
        <v>61412474330</v>
      </c>
      <c r="J10" s="21" t="s">
        <v>2495</v>
      </c>
      <c r="K10" s="21" t="s">
        <v>2064</v>
      </c>
      <c r="O10" s="12" t="s">
        <v>408</v>
      </c>
      <c r="P10" s="21" t="s">
        <v>2067</v>
      </c>
      <c r="S10" s="21" t="s">
        <v>2068</v>
      </c>
      <c r="U10" s="12">
        <v>5713.0</v>
      </c>
      <c r="W10" s="21" t="s">
        <v>2558</v>
      </c>
      <c r="X10" s="21" t="s">
        <v>2559</v>
      </c>
      <c r="Y10" s="21" t="s">
        <v>2560</v>
      </c>
      <c r="Z10" s="106" t="s">
        <v>2066</v>
      </c>
      <c r="AA10" s="21">
        <v>26.0</v>
      </c>
      <c r="AB10" s="21">
        <v>18.0</v>
      </c>
      <c r="AC10" s="21">
        <v>10.0</v>
      </c>
      <c r="AD10" s="21">
        <f t="shared" si="3"/>
        <v>1</v>
      </c>
      <c r="AE10" s="21" t="s">
        <v>2491</v>
      </c>
      <c r="AF10" s="21" t="s">
        <v>2491</v>
      </c>
      <c r="AH10" s="21" t="s">
        <v>2561</v>
      </c>
      <c r="AI10" s="136" t="s">
        <v>2562</v>
      </c>
      <c r="AJ10" s="21" t="s">
        <v>2563</v>
      </c>
      <c r="AK10" s="21" t="s">
        <v>2563</v>
      </c>
      <c r="AO10" s="21" t="s">
        <v>2564</v>
      </c>
      <c r="AP10" s="21">
        <v>0.8</v>
      </c>
      <c r="AQ10" s="21">
        <v>29.0</v>
      </c>
      <c r="AR10" s="21">
        <v>1.0</v>
      </c>
      <c r="AS10" s="21" t="s">
        <v>20</v>
      </c>
      <c r="AT10" s="21">
        <v>190120.0</v>
      </c>
    </row>
    <row r="11">
      <c r="A11" s="21" t="s">
        <v>2492</v>
      </c>
      <c r="C11" s="21" t="s">
        <v>2493</v>
      </c>
      <c r="F11" s="21" t="s">
        <v>2494</v>
      </c>
      <c r="G11" s="21" t="s">
        <v>104</v>
      </c>
      <c r="H11" s="21">
        <v>5125.0</v>
      </c>
      <c r="I11" s="135">
        <f t="shared" si="1"/>
        <v>61412474330</v>
      </c>
      <c r="J11" s="21" t="s">
        <v>2495</v>
      </c>
      <c r="K11" s="21" t="s">
        <v>2069</v>
      </c>
      <c r="O11" s="12" t="s">
        <v>408</v>
      </c>
      <c r="P11" s="21" t="s">
        <v>2071</v>
      </c>
      <c r="S11" s="21" t="s">
        <v>2072</v>
      </c>
      <c r="U11" s="12">
        <v>3400.0</v>
      </c>
      <c r="W11" s="21" t="s">
        <v>2558</v>
      </c>
      <c r="X11" s="21" t="s">
        <v>2559</v>
      </c>
      <c r="Y11" s="21" t="s">
        <v>2560</v>
      </c>
      <c r="Z11" s="106" t="s">
        <v>1038</v>
      </c>
      <c r="AA11" s="21">
        <v>26.0</v>
      </c>
      <c r="AB11" s="21">
        <v>18.0</v>
      </c>
      <c r="AC11" s="21">
        <v>10.0</v>
      </c>
      <c r="AD11" s="21">
        <f t="shared" si="3"/>
        <v>1.8</v>
      </c>
      <c r="AE11" s="18" t="s">
        <v>2491</v>
      </c>
      <c r="AF11" s="18" t="s">
        <v>2491</v>
      </c>
      <c r="AG11" s="18"/>
      <c r="AH11" s="21" t="s">
        <v>2561</v>
      </c>
      <c r="AI11" s="136" t="s">
        <v>2562</v>
      </c>
      <c r="AJ11" s="21" t="s">
        <v>2563</v>
      </c>
      <c r="AK11" s="21" t="s">
        <v>2563</v>
      </c>
      <c r="AO11" s="21" t="s">
        <v>2564</v>
      </c>
      <c r="AP11" s="21">
        <v>1.6</v>
      </c>
      <c r="AQ11" s="21">
        <v>29.0</v>
      </c>
      <c r="AR11" s="21">
        <v>1.0</v>
      </c>
      <c r="AS11" s="21" t="s">
        <v>20</v>
      </c>
      <c r="AT11" s="21">
        <v>190120.0</v>
      </c>
    </row>
    <row r="12">
      <c r="A12" s="21" t="s">
        <v>2492</v>
      </c>
      <c r="C12" s="21" t="s">
        <v>2493</v>
      </c>
      <c r="F12" s="21" t="s">
        <v>2494</v>
      </c>
      <c r="G12" s="21" t="s">
        <v>104</v>
      </c>
      <c r="H12" s="21">
        <v>5125.0</v>
      </c>
      <c r="I12" s="135">
        <f t="shared" si="1"/>
        <v>61412474330</v>
      </c>
      <c r="J12" s="21" t="s">
        <v>2495</v>
      </c>
      <c r="K12" s="21" t="s">
        <v>2074</v>
      </c>
      <c r="O12" s="12" t="s">
        <v>408</v>
      </c>
      <c r="P12" s="21" t="s">
        <v>2076</v>
      </c>
      <c r="S12" s="21" t="s">
        <v>2077</v>
      </c>
      <c r="T12" s="21" t="s">
        <v>667</v>
      </c>
      <c r="U12" s="12">
        <v>920.0</v>
      </c>
      <c r="W12" s="21" t="s">
        <v>2558</v>
      </c>
      <c r="X12" s="21" t="s">
        <v>2559</v>
      </c>
      <c r="Y12" s="21" t="s">
        <v>2560</v>
      </c>
      <c r="Z12" s="106" t="s">
        <v>1038</v>
      </c>
      <c r="AA12" s="21">
        <v>26.0</v>
      </c>
      <c r="AB12" s="21">
        <v>18.0</v>
      </c>
      <c r="AC12" s="21">
        <v>10.0</v>
      </c>
      <c r="AD12" s="21">
        <f t="shared" si="3"/>
        <v>1.8</v>
      </c>
      <c r="AE12" s="21" t="s">
        <v>2491</v>
      </c>
      <c r="AF12" s="21" t="s">
        <v>2491</v>
      </c>
      <c r="AH12" s="21" t="s">
        <v>2561</v>
      </c>
      <c r="AI12" s="136" t="s">
        <v>2562</v>
      </c>
      <c r="AJ12" s="21" t="s">
        <v>2563</v>
      </c>
      <c r="AK12" s="21" t="s">
        <v>2563</v>
      </c>
      <c r="AO12" s="21" t="s">
        <v>2564</v>
      </c>
      <c r="AP12" s="21">
        <v>1.6</v>
      </c>
      <c r="AQ12" s="21">
        <v>29.0</v>
      </c>
      <c r="AR12" s="21">
        <v>1.0</v>
      </c>
      <c r="AS12" s="21" t="s">
        <v>20</v>
      </c>
      <c r="AT12" s="21">
        <v>190120.0</v>
      </c>
    </row>
    <row r="13">
      <c r="A13" s="21" t="s">
        <v>2492</v>
      </c>
      <c r="C13" s="21" t="s">
        <v>2493</v>
      </c>
      <c r="F13" s="21" t="s">
        <v>2494</v>
      </c>
      <c r="G13" s="21" t="s">
        <v>104</v>
      </c>
      <c r="H13" s="21">
        <v>5125.0</v>
      </c>
      <c r="I13" s="135">
        <f t="shared" si="1"/>
        <v>61412474330</v>
      </c>
      <c r="J13" s="21" t="s">
        <v>2495</v>
      </c>
      <c r="K13" s="21" t="s">
        <v>2079</v>
      </c>
      <c r="O13" s="12" t="s">
        <v>408</v>
      </c>
      <c r="P13" s="21" t="s">
        <v>2081</v>
      </c>
      <c r="S13" s="21" t="s">
        <v>2082</v>
      </c>
      <c r="T13" s="21" t="s">
        <v>667</v>
      </c>
      <c r="U13" s="12">
        <v>1051.0</v>
      </c>
      <c r="W13" s="21" t="s">
        <v>2558</v>
      </c>
      <c r="X13" s="21" t="s">
        <v>2559</v>
      </c>
      <c r="Y13" s="21" t="s">
        <v>2560</v>
      </c>
      <c r="Z13" s="106" t="s">
        <v>1214</v>
      </c>
      <c r="AA13" s="21">
        <v>36.0</v>
      </c>
      <c r="AB13" s="21">
        <v>26.0</v>
      </c>
      <c r="AC13" s="21">
        <v>10.0</v>
      </c>
      <c r="AD13" s="21">
        <f t="shared" si="3"/>
        <v>3.4</v>
      </c>
      <c r="AE13" s="18" t="s">
        <v>2491</v>
      </c>
      <c r="AF13" s="18" t="s">
        <v>2491</v>
      </c>
      <c r="AG13" s="18"/>
      <c r="AH13" s="21" t="s">
        <v>2561</v>
      </c>
      <c r="AI13" s="136" t="s">
        <v>2562</v>
      </c>
      <c r="AJ13" s="21" t="s">
        <v>2563</v>
      </c>
      <c r="AK13" s="21" t="s">
        <v>2563</v>
      </c>
      <c r="AO13" s="21" t="s">
        <v>2564</v>
      </c>
      <c r="AP13" s="21">
        <v>3.2</v>
      </c>
      <c r="AQ13" s="21">
        <v>29.0</v>
      </c>
      <c r="AR13" s="21">
        <v>1.0</v>
      </c>
      <c r="AS13" s="21" t="s">
        <v>20</v>
      </c>
      <c r="AT13" s="21">
        <v>190120.0</v>
      </c>
    </row>
    <row r="14">
      <c r="A14" s="21" t="s">
        <v>2492</v>
      </c>
      <c r="C14" s="21" t="s">
        <v>2493</v>
      </c>
      <c r="F14" s="21" t="s">
        <v>2494</v>
      </c>
      <c r="G14" s="21" t="s">
        <v>104</v>
      </c>
      <c r="H14" s="21">
        <v>5125.0</v>
      </c>
      <c r="I14" s="135">
        <f t="shared" si="1"/>
        <v>61412474330</v>
      </c>
      <c r="J14" s="21" t="s">
        <v>2495</v>
      </c>
      <c r="K14" s="21" t="s">
        <v>2083</v>
      </c>
      <c r="O14" s="12" t="s">
        <v>408</v>
      </c>
      <c r="P14" s="21" t="s">
        <v>2085</v>
      </c>
      <c r="S14" s="21" t="s">
        <v>2042</v>
      </c>
      <c r="T14" s="21"/>
      <c r="U14" s="12">
        <v>3800.0</v>
      </c>
      <c r="W14" s="21" t="s">
        <v>2558</v>
      </c>
      <c r="X14" s="21" t="s">
        <v>2559</v>
      </c>
      <c r="Y14" s="21" t="s">
        <v>2560</v>
      </c>
      <c r="Z14" s="106" t="s">
        <v>1059</v>
      </c>
      <c r="AA14" s="21">
        <v>36.0</v>
      </c>
      <c r="AB14" s="21">
        <v>26.0</v>
      </c>
      <c r="AC14" s="21">
        <v>10.0</v>
      </c>
      <c r="AD14" s="21">
        <f t="shared" si="3"/>
        <v>2.6</v>
      </c>
      <c r="AE14" s="21" t="s">
        <v>2491</v>
      </c>
      <c r="AF14" s="21" t="s">
        <v>2491</v>
      </c>
      <c r="AH14" s="21" t="s">
        <v>2561</v>
      </c>
      <c r="AI14" s="136" t="s">
        <v>2562</v>
      </c>
      <c r="AJ14" s="21" t="s">
        <v>2563</v>
      </c>
      <c r="AK14" s="21" t="s">
        <v>2563</v>
      </c>
      <c r="AO14" s="21" t="s">
        <v>2564</v>
      </c>
      <c r="AP14" s="21">
        <v>2.4</v>
      </c>
      <c r="AQ14" s="21">
        <v>29.0</v>
      </c>
      <c r="AR14" s="21">
        <v>1.0</v>
      </c>
      <c r="AS14" s="21" t="s">
        <v>20</v>
      </c>
      <c r="AT14" s="21">
        <v>190120.0</v>
      </c>
    </row>
    <row r="15">
      <c r="A15" s="21" t="s">
        <v>2492</v>
      </c>
      <c r="C15" s="21" t="s">
        <v>2493</v>
      </c>
      <c r="F15" s="21" t="s">
        <v>2494</v>
      </c>
      <c r="G15" s="21" t="s">
        <v>104</v>
      </c>
      <c r="H15" s="21">
        <v>5125.0</v>
      </c>
      <c r="I15" s="135">
        <f t="shared" si="1"/>
        <v>61412474330</v>
      </c>
      <c r="J15" s="21" t="s">
        <v>2495</v>
      </c>
      <c r="K15" s="21" t="s">
        <v>1976</v>
      </c>
      <c r="O15" s="12" t="s">
        <v>408</v>
      </c>
      <c r="P15" s="21" t="s">
        <v>1978</v>
      </c>
      <c r="S15" s="21" t="s">
        <v>1979</v>
      </c>
      <c r="T15" s="21"/>
      <c r="U15" s="12">
        <v>5011.0</v>
      </c>
      <c r="W15" s="21" t="s">
        <v>2558</v>
      </c>
      <c r="X15" s="21" t="s">
        <v>2559</v>
      </c>
      <c r="Y15" s="21" t="s">
        <v>2560</v>
      </c>
      <c r="Z15" s="21" t="s">
        <v>1173</v>
      </c>
      <c r="AA15" s="21">
        <v>26.0</v>
      </c>
      <c r="AB15" s="21">
        <v>15.0</v>
      </c>
      <c r="AC15" s="21">
        <v>8.0</v>
      </c>
      <c r="AD15" s="21">
        <f t="shared" ref="AD15:AD26" si="4">AP15+0.1</f>
        <v>0.6</v>
      </c>
      <c r="AE15" s="18" t="s">
        <v>2491</v>
      </c>
      <c r="AF15" s="18" t="s">
        <v>2491</v>
      </c>
      <c r="AG15" s="18"/>
      <c r="AH15" s="21" t="s">
        <v>2561</v>
      </c>
      <c r="AI15" s="136" t="s">
        <v>2562</v>
      </c>
      <c r="AJ15" s="21" t="s">
        <v>2563</v>
      </c>
      <c r="AK15" s="21" t="s">
        <v>2563</v>
      </c>
      <c r="AO15" s="21" t="s">
        <v>2564</v>
      </c>
      <c r="AP15" s="21">
        <v>0.5</v>
      </c>
      <c r="AQ15" s="21">
        <v>29.0</v>
      </c>
      <c r="AR15" s="21">
        <v>1.0</v>
      </c>
      <c r="AS15" s="21" t="s">
        <v>20</v>
      </c>
      <c r="AT15" s="21">
        <v>190120.0</v>
      </c>
    </row>
    <row r="16">
      <c r="A16" s="21" t="s">
        <v>2492</v>
      </c>
      <c r="C16" s="21" t="s">
        <v>2493</v>
      </c>
      <c r="F16" s="21" t="s">
        <v>2494</v>
      </c>
      <c r="G16" s="21" t="s">
        <v>104</v>
      </c>
      <c r="H16" s="21">
        <v>5125.0</v>
      </c>
      <c r="I16" s="135">
        <f t="shared" si="1"/>
        <v>61412474330</v>
      </c>
      <c r="J16" s="21" t="s">
        <v>2495</v>
      </c>
      <c r="K16" s="23" t="s">
        <v>1981</v>
      </c>
      <c r="O16" s="12" t="s">
        <v>408</v>
      </c>
      <c r="P16" s="23" t="s">
        <v>1983</v>
      </c>
      <c r="S16" s="23" t="s">
        <v>1984</v>
      </c>
      <c r="T16" s="23" t="s">
        <v>667</v>
      </c>
      <c r="U16" s="23">
        <v>932.0</v>
      </c>
      <c r="W16" s="21" t="s">
        <v>2558</v>
      </c>
      <c r="X16" s="21" t="s">
        <v>2559</v>
      </c>
      <c r="Y16" s="21" t="s">
        <v>2560</v>
      </c>
      <c r="Z16" s="23" t="s">
        <v>472</v>
      </c>
      <c r="AA16" s="21">
        <v>26.0</v>
      </c>
      <c r="AB16" s="21">
        <v>15.0</v>
      </c>
      <c r="AC16" s="21">
        <v>8.0</v>
      </c>
      <c r="AD16" s="21">
        <f t="shared" si="4"/>
        <v>0.6</v>
      </c>
      <c r="AE16" s="21" t="s">
        <v>2491</v>
      </c>
      <c r="AF16" s="21" t="s">
        <v>2491</v>
      </c>
      <c r="AH16" s="21" t="s">
        <v>2561</v>
      </c>
      <c r="AI16" s="136" t="s">
        <v>2562</v>
      </c>
      <c r="AJ16" s="21" t="s">
        <v>2563</v>
      </c>
      <c r="AK16" s="21" t="s">
        <v>2563</v>
      </c>
      <c r="AO16" s="21" t="s">
        <v>2564</v>
      </c>
      <c r="AP16" s="21">
        <v>0.5</v>
      </c>
      <c r="AQ16" s="21">
        <v>29.0</v>
      </c>
      <c r="AR16" s="21">
        <v>1.0</v>
      </c>
      <c r="AS16" s="21" t="s">
        <v>20</v>
      </c>
      <c r="AT16" s="21">
        <v>190120.0</v>
      </c>
    </row>
    <row r="17">
      <c r="A17" s="21" t="s">
        <v>2492</v>
      </c>
      <c r="C17" s="21" t="s">
        <v>2493</v>
      </c>
      <c r="F17" s="21" t="s">
        <v>2494</v>
      </c>
      <c r="G17" s="21" t="s">
        <v>104</v>
      </c>
      <c r="H17" s="21">
        <v>5125.0</v>
      </c>
      <c r="I17" s="135">
        <f t="shared" si="1"/>
        <v>61412474330</v>
      </c>
      <c r="J17" s="21" t="s">
        <v>2495</v>
      </c>
      <c r="K17" s="23" t="s">
        <v>1985</v>
      </c>
      <c r="O17" s="12" t="s">
        <v>408</v>
      </c>
      <c r="P17" s="23" t="s">
        <v>1987</v>
      </c>
      <c r="S17" s="23" t="s">
        <v>1988</v>
      </c>
      <c r="T17" s="23" t="s">
        <v>716</v>
      </c>
      <c r="U17" s="23">
        <v>5019.0</v>
      </c>
      <c r="W17" s="21" t="s">
        <v>2558</v>
      </c>
      <c r="X17" s="21" t="s">
        <v>2559</v>
      </c>
      <c r="Y17" s="21" t="s">
        <v>2560</v>
      </c>
      <c r="Z17" s="23" t="s">
        <v>472</v>
      </c>
      <c r="AA17" s="21">
        <v>26.0</v>
      </c>
      <c r="AB17" s="21">
        <v>15.0</v>
      </c>
      <c r="AC17" s="21">
        <v>8.0</v>
      </c>
      <c r="AD17" s="21">
        <f t="shared" si="4"/>
        <v>0.6</v>
      </c>
      <c r="AE17" s="18" t="s">
        <v>2491</v>
      </c>
      <c r="AF17" s="18" t="s">
        <v>2491</v>
      </c>
      <c r="AG17" s="18"/>
      <c r="AH17" s="21" t="s">
        <v>2561</v>
      </c>
      <c r="AI17" s="136" t="s">
        <v>2562</v>
      </c>
      <c r="AJ17" s="21" t="s">
        <v>2563</v>
      </c>
      <c r="AK17" s="21" t="s">
        <v>2563</v>
      </c>
      <c r="AO17" s="21" t="s">
        <v>2564</v>
      </c>
      <c r="AP17" s="21">
        <v>0.5</v>
      </c>
      <c r="AQ17" s="21">
        <v>29.0</v>
      </c>
      <c r="AR17" s="21">
        <v>1.0</v>
      </c>
      <c r="AS17" s="21" t="s">
        <v>20</v>
      </c>
      <c r="AT17" s="21">
        <v>190120.0</v>
      </c>
    </row>
    <row r="18">
      <c r="A18" s="21" t="s">
        <v>2492</v>
      </c>
      <c r="C18" s="21" t="s">
        <v>2493</v>
      </c>
      <c r="F18" s="21" t="s">
        <v>2494</v>
      </c>
      <c r="G18" s="21" t="s">
        <v>104</v>
      </c>
      <c r="H18" s="21">
        <v>5125.0</v>
      </c>
      <c r="I18" s="135">
        <f t="shared" si="1"/>
        <v>61412474330</v>
      </c>
      <c r="J18" s="21" t="s">
        <v>2495</v>
      </c>
      <c r="K18" s="23" t="s">
        <v>1989</v>
      </c>
      <c r="O18" s="12" t="s">
        <v>408</v>
      </c>
      <c r="P18" s="23" t="s">
        <v>1991</v>
      </c>
      <c r="S18" s="23" t="s">
        <v>1992</v>
      </c>
      <c r="T18" s="23" t="s">
        <v>1994</v>
      </c>
      <c r="U18" s="23" t="s">
        <v>1993</v>
      </c>
      <c r="W18" s="21" t="s">
        <v>2558</v>
      </c>
      <c r="X18" s="21" t="s">
        <v>2559</v>
      </c>
      <c r="Y18" s="21" t="s">
        <v>2560</v>
      </c>
      <c r="Z18" s="23" t="s">
        <v>472</v>
      </c>
      <c r="AA18" s="21">
        <v>26.0</v>
      </c>
      <c r="AB18" s="21">
        <v>15.0</v>
      </c>
      <c r="AC18" s="21">
        <v>8.0</v>
      </c>
      <c r="AD18" s="21">
        <f t="shared" si="4"/>
        <v>0.6</v>
      </c>
      <c r="AE18" s="21" t="s">
        <v>2491</v>
      </c>
      <c r="AF18" s="21" t="s">
        <v>2491</v>
      </c>
      <c r="AH18" s="21" t="s">
        <v>2561</v>
      </c>
      <c r="AI18" s="136" t="s">
        <v>2562</v>
      </c>
      <c r="AJ18" s="21" t="s">
        <v>2563</v>
      </c>
      <c r="AK18" s="21" t="s">
        <v>2563</v>
      </c>
      <c r="AO18" s="21" t="s">
        <v>2564</v>
      </c>
      <c r="AP18" s="21">
        <v>0.5</v>
      </c>
      <c r="AQ18" s="21">
        <v>29.0</v>
      </c>
      <c r="AR18" s="21">
        <v>1.0</v>
      </c>
      <c r="AS18" s="21" t="s">
        <v>20</v>
      </c>
      <c r="AT18" s="21">
        <v>190120.0</v>
      </c>
    </row>
    <row r="19">
      <c r="A19" s="21" t="s">
        <v>2492</v>
      </c>
      <c r="C19" s="21" t="s">
        <v>2493</v>
      </c>
      <c r="F19" s="21" t="s">
        <v>2494</v>
      </c>
      <c r="G19" s="21" t="s">
        <v>104</v>
      </c>
      <c r="H19" s="21">
        <v>5125.0</v>
      </c>
      <c r="I19" s="135">
        <f t="shared" si="1"/>
        <v>61412474330</v>
      </c>
      <c r="J19" s="21" t="s">
        <v>2495</v>
      </c>
      <c r="K19" s="23" t="s">
        <v>1995</v>
      </c>
      <c r="O19" s="23" t="s">
        <v>722</v>
      </c>
      <c r="P19" s="23" t="s">
        <v>1998</v>
      </c>
      <c r="S19" s="23" t="s">
        <v>1999</v>
      </c>
      <c r="T19" s="101" t="s">
        <v>2001</v>
      </c>
      <c r="U19" s="23" t="s">
        <v>2000</v>
      </c>
      <c r="W19" s="21" t="s">
        <v>2558</v>
      </c>
      <c r="X19" s="21" t="s">
        <v>2559</v>
      </c>
      <c r="Y19" s="21" t="s">
        <v>2560</v>
      </c>
      <c r="Z19" s="23" t="s">
        <v>1997</v>
      </c>
      <c r="AA19" s="21">
        <v>26.0</v>
      </c>
      <c r="AB19" s="21">
        <v>15.0</v>
      </c>
      <c r="AC19" s="21">
        <v>8.0</v>
      </c>
      <c r="AD19" s="21">
        <f t="shared" si="4"/>
        <v>1.1</v>
      </c>
      <c r="AE19" s="18" t="s">
        <v>2491</v>
      </c>
      <c r="AF19" s="18" t="s">
        <v>2491</v>
      </c>
      <c r="AG19" s="18"/>
      <c r="AH19" s="21" t="s">
        <v>2561</v>
      </c>
      <c r="AI19" s="136" t="s">
        <v>2562</v>
      </c>
      <c r="AJ19" s="21" t="s">
        <v>2563</v>
      </c>
      <c r="AK19" s="21" t="s">
        <v>2563</v>
      </c>
      <c r="AO19" s="21" t="s">
        <v>2564</v>
      </c>
      <c r="AP19" s="21">
        <v>1.0</v>
      </c>
      <c r="AQ19" s="21">
        <v>29.0</v>
      </c>
      <c r="AR19" s="21">
        <v>1.0</v>
      </c>
      <c r="AS19" s="21" t="s">
        <v>20</v>
      </c>
      <c r="AT19" s="21">
        <v>190120.0</v>
      </c>
    </row>
    <row r="20">
      <c r="A20" s="21" t="s">
        <v>2492</v>
      </c>
      <c r="C20" s="21" t="s">
        <v>2493</v>
      </c>
      <c r="F20" s="21" t="s">
        <v>2494</v>
      </c>
      <c r="G20" s="21" t="s">
        <v>104</v>
      </c>
      <c r="H20" s="21">
        <v>5125.0</v>
      </c>
      <c r="I20" s="135">
        <f t="shared" si="1"/>
        <v>61412474330</v>
      </c>
      <c r="J20" s="21" t="s">
        <v>2495</v>
      </c>
      <c r="K20" s="23" t="s">
        <v>2002</v>
      </c>
      <c r="O20" s="23" t="s">
        <v>722</v>
      </c>
      <c r="P20" s="23" t="s">
        <v>2004</v>
      </c>
      <c r="S20" s="101" t="s">
        <v>2005</v>
      </c>
      <c r="T20" s="101" t="s">
        <v>2001</v>
      </c>
      <c r="U20" s="101" t="s">
        <v>2006</v>
      </c>
      <c r="W20" s="21" t="s">
        <v>2558</v>
      </c>
      <c r="X20" s="21" t="s">
        <v>2559</v>
      </c>
      <c r="Y20" s="21" t="s">
        <v>2560</v>
      </c>
      <c r="Z20" s="23" t="s">
        <v>935</v>
      </c>
      <c r="AA20" s="21">
        <v>26.0</v>
      </c>
      <c r="AB20" s="21">
        <v>15.0</v>
      </c>
      <c r="AC20" s="21">
        <v>8.0</v>
      </c>
      <c r="AD20" s="21">
        <f t="shared" si="4"/>
        <v>0.6</v>
      </c>
      <c r="AE20" s="21" t="s">
        <v>2491</v>
      </c>
      <c r="AF20" s="21" t="s">
        <v>2491</v>
      </c>
      <c r="AH20" s="21" t="s">
        <v>2561</v>
      </c>
      <c r="AI20" s="136" t="s">
        <v>2562</v>
      </c>
      <c r="AJ20" s="21" t="s">
        <v>2563</v>
      </c>
      <c r="AK20" s="21" t="s">
        <v>2563</v>
      </c>
      <c r="AO20" s="21" t="s">
        <v>2564</v>
      </c>
      <c r="AP20" s="21">
        <v>0.5</v>
      </c>
      <c r="AQ20" s="21">
        <v>29.0</v>
      </c>
      <c r="AR20" s="21">
        <v>1.0</v>
      </c>
      <c r="AS20" s="21" t="s">
        <v>20</v>
      </c>
      <c r="AT20" s="21">
        <v>190120.0</v>
      </c>
    </row>
    <row r="21">
      <c r="A21" s="21" t="s">
        <v>2492</v>
      </c>
      <c r="C21" s="21" t="s">
        <v>2493</v>
      </c>
      <c r="F21" s="21" t="s">
        <v>2494</v>
      </c>
      <c r="G21" s="21" t="s">
        <v>104</v>
      </c>
      <c r="H21" s="21">
        <v>5125.0</v>
      </c>
      <c r="I21" s="135">
        <f t="shared" si="1"/>
        <v>61412474330</v>
      </c>
      <c r="J21" s="21" t="s">
        <v>2495</v>
      </c>
      <c r="K21" s="21" t="s">
        <v>2007</v>
      </c>
      <c r="O21" s="23" t="s">
        <v>722</v>
      </c>
      <c r="P21" s="23" t="s">
        <v>2009</v>
      </c>
      <c r="S21" s="23" t="s">
        <v>2005</v>
      </c>
      <c r="T21" s="21" t="s">
        <v>2001</v>
      </c>
      <c r="U21" s="23" t="s">
        <v>2010</v>
      </c>
      <c r="W21" s="21" t="s">
        <v>2558</v>
      </c>
      <c r="X21" s="21" t="s">
        <v>2559</v>
      </c>
      <c r="Y21" s="21" t="s">
        <v>2560</v>
      </c>
      <c r="Z21" s="23" t="s">
        <v>935</v>
      </c>
      <c r="AA21" s="21">
        <v>26.0</v>
      </c>
      <c r="AB21" s="21">
        <v>15.0</v>
      </c>
      <c r="AC21" s="21">
        <v>8.0</v>
      </c>
      <c r="AD21" s="21">
        <f t="shared" si="4"/>
        <v>0.6</v>
      </c>
      <c r="AE21" s="18" t="s">
        <v>2491</v>
      </c>
      <c r="AF21" s="18" t="s">
        <v>2491</v>
      </c>
      <c r="AG21" s="18"/>
      <c r="AH21" s="21" t="s">
        <v>2561</v>
      </c>
      <c r="AI21" s="136" t="s">
        <v>2562</v>
      </c>
      <c r="AJ21" s="21" t="s">
        <v>2563</v>
      </c>
      <c r="AK21" s="21" t="s">
        <v>2563</v>
      </c>
      <c r="AO21" s="21" t="s">
        <v>2564</v>
      </c>
      <c r="AP21" s="21">
        <v>0.5</v>
      </c>
      <c r="AQ21" s="21">
        <v>29.0</v>
      </c>
      <c r="AR21" s="21">
        <v>1.0</v>
      </c>
      <c r="AS21" s="21" t="s">
        <v>20</v>
      </c>
      <c r="AT21" s="21">
        <v>190120.0</v>
      </c>
    </row>
    <row r="22">
      <c r="A22" s="21" t="s">
        <v>2492</v>
      </c>
      <c r="C22" s="21" t="s">
        <v>2493</v>
      </c>
      <c r="F22" s="21" t="s">
        <v>2494</v>
      </c>
      <c r="G22" s="21" t="s">
        <v>104</v>
      </c>
      <c r="H22" s="21">
        <v>5125.0</v>
      </c>
      <c r="I22" s="135">
        <f t="shared" si="1"/>
        <v>61412474330</v>
      </c>
      <c r="J22" s="21" t="s">
        <v>2495</v>
      </c>
      <c r="K22" s="21" t="s">
        <v>884</v>
      </c>
      <c r="O22" s="23" t="s">
        <v>722</v>
      </c>
      <c r="P22" s="12" t="s">
        <v>2012</v>
      </c>
      <c r="S22" s="12" t="s">
        <v>2013</v>
      </c>
      <c r="T22" s="12" t="s">
        <v>2001</v>
      </c>
      <c r="U22" s="12" t="s">
        <v>2014</v>
      </c>
      <c r="W22" s="21" t="s">
        <v>2558</v>
      </c>
      <c r="X22" s="21" t="s">
        <v>2559</v>
      </c>
      <c r="Y22" s="21" t="s">
        <v>2560</v>
      </c>
      <c r="Z22" s="21" t="s">
        <v>935</v>
      </c>
      <c r="AA22" s="21">
        <v>26.0</v>
      </c>
      <c r="AB22" s="21">
        <v>15.0</v>
      </c>
      <c r="AC22" s="21">
        <v>8.0</v>
      </c>
      <c r="AD22" s="21">
        <f t="shared" si="4"/>
        <v>0.6</v>
      </c>
      <c r="AE22" s="21" t="s">
        <v>2491</v>
      </c>
      <c r="AF22" s="21" t="s">
        <v>2491</v>
      </c>
      <c r="AH22" s="21" t="s">
        <v>2561</v>
      </c>
      <c r="AI22" s="136" t="s">
        <v>2562</v>
      </c>
      <c r="AJ22" s="21" t="s">
        <v>2563</v>
      </c>
      <c r="AK22" s="21" t="s">
        <v>2563</v>
      </c>
      <c r="AO22" s="21" t="s">
        <v>2564</v>
      </c>
      <c r="AP22" s="21">
        <v>0.5</v>
      </c>
      <c r="AQ22" s="21">
        <v>29.0</v>
      </c>
      <c r="AR22" s="21">
        <v>1.0</v>
      </c>
      <c r="AS22" s="21" t="s">
        <v>20</v>
      </c>
      <c r="AT22" s="21">
        <v>190120.0</v>
      </c>
    </row>
    <row r="23">
      <c r="A23" s="21" t="s">
        <v>2492</v>
      </c>
      <c r="C23" s="21" t="s">
        <v>2493</v>
      </c>
      <c r="F23" s="21" t="s">
        <v>2494</v>
      </c>
      <c r="G23" s="21" t="s">
        <v>104</v>
      </c>
      <c r="H23" s="21">
        <v>5125.0</v>
      </c>
      <c r="I23" s="135">
        <f t="shared" si="1"/>
        <v>61412474330</v>
      </c>
      <c r="J23" s="21" t="s">
        <v>2495</v>
      </c>
      <c r="K23" s="23" t="s">
        <v>2016</v>
      </c>
      <c r="O23" s="21" t="s">
        <v>400</v>
      </c>
      <c r="P23" s="23" t="s">
        <v>2018</v>
      </c>
      <c r="S23" s="23" t="s">
        <v>2019</v>
      </c>
      <c r="T23" s="23" t="s">
        <v>2020</v>
      </c>
      <c r="U23" s="23">
        <v>44240.0</v>
      </c>
      <c r="W23" s="21" t="s">
        <v>2558</v>
      </c>
      <c r="X23" s="21" t="s">
        <v>2559</v>
      </c>
      <c r="Y23" s="21" t="s">
        <v>2560</v>
      </c>
      <c r="Z23" s="23" t="s">
        <v>935</v>
      </c>
      <c r="AA23" s="21">
        <v>26.0</v>
      </c>
      <c r="AB23" s="21">
        <v>15.0</v>
      </c>
      <c r="AC23" s="21">
        <v>8.0</v>
      </c>
      <c r="AD23" s="21">
        <f t="shared" si="4"/>
        <v>0.6</v>
      </c>
      <c r="AE23" s="18" t="s">
        <v>2491</v>
      </c>
      <c r="AF23" s="18" t="s">
        <v>2491</v>
      </c>
      <c r="AG23" s="18"/>
      <c r="AH23" s="21" t="s">
        <v>2561</v>
      </c>
      <c r="AI23" s="136" t="s">
        <v>2562</v>
      </c>
      <c r="AJ23" s="21" t="s">
        <v>2563</v>
      </c>
      <c r="AK23" s="21" t="s">
        <v>2563</v>
      </c>
      <c r="AO23" s="21" t="s">
        <v>2564</v>
      </c>
      <c r="AP23" s="21">
        <v>0.5</v>
      </c>
      <c r="AQ23" s="21">
        <v>29.0</v>
      </c>
      <c r="AR23" s="21">
        <v>1.0</v>
      </c>
      <c r="AS23" s="21" t="s">
        <v>20</v>
      </c>
      <c r="AT23" s="21">
        <v>190120.0</v>
      </c>
    </row>
    <row r="24">
      <c r="A24" s="21" t="s">
        <v>2492</v>
      </c>
      <c r="C24" s="21" t="s">
        <v>2493</v>
      </c>
      <c r="F24" s="21" t="s">
        <v>2494</v>
      </c>
      <c r="G24" s="21" t="s">
        <v>104</v>
      </c>
      <c r="H24" s="21">
        <v>5125.0</v>
      </c>
      <c r="I24" s="135">
        <f t="shared" si="1"/>
        <v>61412474330</v>
      </c>
      <c r="J24" s="21" t="s">
        <v>2495</v>
      </c>
      <c r="K24" s="21" t="s">
        <v>2022</v>
      </c>
      <c r="O24" s="21" t="s">
        <v>400</v>
      </c>
      <c r="P24" s="21" t="s">
        <v>2024</v>
      </c>
      <c r="S24" s="21" t="s">
        <v>2025</v>
      </c>
      <c r="T24" s="21" t="s">
        <v>399</v>
      </c>
      <c r="U24" s="12">
        <v>77379.0</v>
      </c>
      <c r="W24" s="21" t="s">
        <v>2558</v>
      </c>
      <c r="X24" s="21" t="s">
        <v>2559</v>
      </c>
      <c r="Y24" s="21" t="s">
        <v>2560</v>
      </c>
      <c r="Z24" s="23" t="s">
        <v>472</v>
      </c>
      <c r="AA24" s="21">
        <v>26.0</v>
      </c>
      <c r="AB24" s="21">
        <v>15.0</v>
      </c>
      <c r="AC24" s="21">
        <v>8.0</v>
      </c>
      <c r="AD24" s="21">
        <f t="shared" si="4"/>
        <v>0.6</v>
      </c>
      <c r="AE24" s="21" t="s">
        <v>2491</v>
      </c>
      <c r="AF24" s="21" t="s">
        <v>2491</v>
      </c>
      <c r="AH24" s="21" t="s">
        <v>2561</v>
      </c>
      <c r="AI24" s="136" t="s">
        <v>2562</v>
      </c>
      <c r="AJ24" s="21" t="s">
        <v>2563</v>
      </c>
      <c r="AK24" s="21" t="s">
        <v>2563</v>
      </c>
      <c r="AO24" s="21" t="s">
        <v>2564</v>
      </c>
      <c r="AP24" s="21">
        <v>0.5</v>
      </c>
      <c r="AQ24" s="21">
        <v>29.0</v>
      </c>
      <c r="AR24" s="21">
        <v>1.0</v>
      </c>
      <c r="AS24" s="21" t="s">
        <v>20</v>
      </c>
      <c r="AT24" s="21">
        <v>190120.0</v>
      </c>
    </row>
    <row r="25">
      <c r="A25" s="21" t="s">
        <v>2492</v>
      </c>
      <c r="C25" s="21" t="s">
        <v>2493</v>
      </c>
      <c r="F25" s="21" t="s">
        <v>2494</v>
      </c>
      <c r="G25" s="21" t="s">
        <v>104</v>
      </c>
      <c r="H25" s="21">
        <v>5125.0</v>
      </c>
      <c r="I25" s="135">
        <f t="shared" si="1"/>
        <v>61412474330</v>
      </c>
      <c r="J25" s="21" t="s">
        <v>2495</v>
      </c>
      <c r="K25" s="14" t="s">
        <v>2027</v>
      </c>
      <c r="O25" s="10" t="s">
        <v>2120</v>
      </c>
      <c r="P25" s="10" t="s">
        <v>2029</v>
      </c>
      <c r="S25" s="10" t="s">
        <v>2030</v>
      </c>
      <c r="T25" s="10"/>
      <c r="U25" s="10" t="s">
        <v>2031</v>
      </c>
      <c r="W25" s="21" t="s">
        <v>2558</v>
      </c>
      <c r="X25" s="21" t="s">
        <v>2559</v>
      </c>
      <c r="Y25" s="21" t="s">
        <v>2560</v>
      </c>
      <c r="Z25" s="14" t="s">
        <v>1054</v>
      </c>
      <c r="AA25" s="21">
        <v>26.0</v>
      </c>
      <c r="AB25" s="21">
        <v>15.0</v>
      </c>
      <c r="AC25" s="21">
        <v>8.0</v>
      </c>
      <c r="AD25" s="21">
        <f t="shared" si="4"/>
        <v>0.6</v>
      </c>
      <c r="AE25" s="21" t="s">
        <v>2491</v>
      </c>
      <c r="AF25" s="21" t="s">
        <v>2491</v>
      </c>
      <c r="AH25" s="21" t="s">
        <v>2561</v>
      </c>
      <c r="AI25" s="136" t="s">
        <v>2562</v>
      </c>
      <c r="AJ25" s="21" t="s">
        <v>2563</v>
      </c>
      <c r="AK25" s="21" t="s">
        <v>2563</v>
      </c>
      <c r="AO25" s="21" t="s">
        <v>2564</v>
      </c>
      <c r="AP25" s="21">
        <v>0.5</v>
      </c>
      <c r="AQ25" s="21">
        <v>29.0</v>
      </c>
      <c r="AR25" s="21">
        <v>1.0</v>
      </c>
      <c r="AS25" s="21" t="s">
        <v>20</v>
      </c>
      <c r="AT25" s="21">
        <v>190120.0</v>
      </c>
    </row>
    <row r="26">
      <c r="A26" s="21" t="s">
        <v>2492</v>
      </c>
      <c r="C26" s="21" t="s">
        <v>2493</v>
      </c>
      <c r="F26" s="21" t="s">
        <v>2494</v>
      </c>
      <c r="G26" s="21" t="s">
        <v>104</v>
      </c>
      <c r="H26" s="21">
        <v>5125.0</v>
      </c>
      <c r="I26" s="135">
        <f t="shared" si="1"/>
        <v>61412474330</v>
      </c>
      <c r="J26" s="21" t="s">
        <v>2495</v>
      </c>
      <c r="K26" s="21" t="s">
        <v>2032</v>
      </c>
      <c r="O26" s="12" t="s">
        <v>2142</v>
      </c>
      <c r="P26" s="21" t="s">
        <v>2034</v>
      </c>
      <c r="S26" s="12" t="s">
        <v>2035</v>
      </c>
      <c r="T26" s="12" t="s">
        <v>2036</v>
      </c>
      <c r="U26" s="12">
        <v>8005.0</v>
      </c>
      <c r="W26" s="21" t="s">
        <v>2558</v>
      </c>
      <c r="X26" s="21" t="s">
        <v>2559</v>
      </c>
      <c r="Y26" s="21" t="s">
        <v>2560</v>
      </c>
      <c r="Z26" s="23" t="s">
        <v>472</v>
      </c>
      <c r="AA26" s="21">
        <v>26.0</v>
      </c>
      <c r="AB26" s="21">
        <v>15.0</v>
      </c>
      <c r="AC26" s="21">
        <v>8.0</v>
      </c>
      <c r="AD26" s="21">
        <f t="shared" si="4"/>
        <v>0.6</v>
      </c>
      <c r="AE26" s="18" t="s">
        <v>2491</v>
      </c>
      <c r="AF26" s="18" t="s">
        <v>2491</v>
      </c>
      <c r="AG26" s="18"/>
      <c r="AH26" s="21" t="s">
        <v>2561</v>
      </c>
      <c r="AI26" s="136" t="s">
        <v>2562</v>
      </c>
      <c r="AJ26" s="21" t="s">
        <v>2563</v>
      </c>
      <c r="AK26" s="21" t="s">
        <v>2563</v>
      </c>
      <c r="AO26" s="21" t="s">
        <v>2564</v>
      </c>
      <c r="AP26" s="21">
        <v>0.5</v>
      </c>
      <c r="AQ26" s="21">
        <v>29.0</v>
      </c>
      <c r="AR26" s="21">
        <v>1.0</v>
      </c>
      <c r="AS26" s="21" t="s">
        <v>20</v>
      </c>
      <c r="AT26" s="21">
        <v>190120.0</v>
      </c>
    </row>
    <row r="27">
      <c r="O27" s="137"/>
      <c r="P27" s="137"/>
      <c r="S27" s="137"/>
      <c r="T27" s="137"/>
      <c r="U27" s="137"/>
    </row>
    <row r="28">
      <c r="O28" s="137"/>
      <c r="P28" s="137"/>
      <c r="S28" s="137"/>
      <c r="T28" s="137"/>
      <c r="U28" s="137"/>
    </row>
    <row r="29">
      <c r="O29" s="137"/>
      <c r="P29" s="137"/>
      <c r="S29" s="137"/>
      <c r="T29" s="137"/>
      <c r="U29" s="137"/>
    </row>
    <row r="30">
      <c r="O30" s="137"/>
      <c r="P30" s="137"/>
      <c r="S30" s="137"/>
      <c r="T30" s="137"/>
      <c r="U30" s="137"/>
    </row>
    <row r="31">
      <c r="O31" s="137"/>
      <c r="P31" s="137"/>
      <c r="S31" s="137"/>
      <c r="T31" s="137"/>
      <c r="U31" s="137"/>
    </row>
    <row r="32">
      <c r="O32" s="137"/>
      <c r="P32" s="137"/>
      <c r="S32" s="137"/>
      <c r="T32" s="137"/>
      <c r="U32" s="137"/>
    </row>
    <row r="33">
      <c r="O33" s="137"/>
      <c r="P33" s="137"/>
      <c r="S33" s="137"/>
      <c r="T33" s="137"/>
      <c r="U33" s="137"/>
    </row>
    <row r="34">
      <c r="O34" s="137"/>
      <c r="P34" s="137"/>
      <c r="S34" s="137"/>
      <c r="T34" s="137"/>
      <c r="U34" s="137"/>
    </row>
    <row r="35">
      <c r="O35" s="137"/>
      <c r="P35" s="137"/>
      <c r="S35" s="137"/>
      <c r="T35" s="137"/>
      <c r="U35" s="137"/>
    </row>
    <row r="36">
      <c r="O36" s="137"/>
      <c r="P36" s="137"/>
      <c r="S36" s="137"/>
      <c r="T36" s="137"/>
      <c r="U36" s="137"/>
    </row>
    <row r="37">
      <c r="O37" s="137"/>
      <c r="P37" s="137"/>
      <c r="S37" s="137"/>
      <c r="T37" s="137"/>
      <c r="U37" s="137"/>
    </row>
    <row r="38">
      <c r="O38" s="137"/>
      <c r="P38" s="137"/>
      <c r="S38" s="137"/>
      <c r="T38" s="137"/>
      <c r="U38" s="137"/>
    </row>
    <row r="39">
      <c r="O39" s="137"/>
      <c r="P39" s="137"/>
      <c r="S39" s="137"/>
      <c r="T39" s="137"/>
      <c r="U39" s="137"/>
    </row>
    <row r="40">
      <c r="O40" s="137"/>
      <c r="P40" s="137"/>
      <c r="S40" s="137"/>
      <c r="T40" s="137"/>
      <c r="U40" s="137"/>
    </row>
    <row r="41">
      <c r="O41" s="137"/>
      <c r="P41" s="137"/>
      <c r="S41" s="137"/>
      <c r="T41" s="137"/>
      <c r="U41" s="137"/>
    </row>
    <row r="42">
      <c r="O42" s="137"/>
      <c r="P42" s="137"/>
      <c r="S42" s="137"/>
      <c r="T42" s="137"/>
      <c r="U42" s="137"/>
    </row>
    <row r="43">
      <c r="O43" s="137"/>
      <c r="P43" s="137"/>
      <c r="S43" s="137"/>
      <c r="T43" s="137"/>
      <c r="U43" s="137"/>
    </row>
    <row r="44">
      <c r="O44" s="137"/>
      <c r="P44" s="137"/>
      <c r="S44" s="137"/>
      <c r="T44" s="137"/>
      <c r="U44" s="137"/>
    </row>
    <row r="45">
      <c r="O45" s="137"/>
      <c r="P45" s="137"/>
      <c r="S45" s="137"/>
      <c r="T45" s="137"/>
      <c r="U45" s="137"/>
    </row>
    <row r="46">
      <c r="O46" s="137"/>
      <c r="P46" s="137"/>
      <c r="S46" s="137"/>
      <c r="T46" s="137"/>
      <c r="U46" s="137"/>
    </row>
    <row r="47">
      <c r="O47" s="137"/>
      <c r="P47" s="137"/>
      <c r="S47" s="137"/>
      <c r="T47" s="137"/>
      <c r="U47" s="137"/>
    </row>
    <row r="48">
      <c r="O48" s="137"/>
      <c r="P48" s="137"/>
      <c r="S48" s="137"/>
      <c r="T48" s="137"/>
      <c r="U48" s="137"/>
    </row>
    <row r="49">
      <c r="O49" s="137"/>
      <c r="P49" s="137"/>
      <c r="S49" s="137"/>
      <c r="T49" s="137"/>
      <c r="U49" s="137"/>
    </row>
    <row r="50">
      <c r="O50" s="137"/>
      <c r="P50" s="137"/>
      <c r="S50" s="137"/>
      <c r="T50" s="137"/>
      <c r="U50" s="137"/>
    </row>
    <row r="51">
      <c r="O51" s="137"/>
      <c r="P51" s="137"/>
      <c r="S51" s="137"/>
      <c r="T51" s="137"/>
      <c r="U51" s="137"/>
    </row>
    <row r="52">
      <c r="O52" s="137"/>
      <c r="P52" s="137"/>
      <c r="S52" s="137"/>
      <c r="T52" s="137"/>
      <c r="U52" s="137"/>
    </row>
    <row r="53">
      <c r="O53" s="137"/>
      <c r="P53" s="137"/>
      <c r="S53" s="137"/>
      <c r="T53" s="137"/>
      <c r="U53" s="137"/>
    </row>
    <row r="54">
      <c r="O54" s="137"/>
      <c r="P54" s="137"/>
      <c r="S54" s="137"/>
      <c r="T54" s="137"/>
      <c r="U54" s="137"/>
    </row>
    <row r="55">
      <c r="O55" s="137"/>
      <c r="P55" s="137"/>
      <c r="S55" s="137"/>
      <c r="T55" s="137"/>
      <c r="U55" s="137"/>
    </row>
    <row r="56">
      <c r="O56" s="137"/>
      <c r="P56" s="137"/>
      <c r="S56" s="137"/>
      <c r="T56" s="137"/>
      <c r="U56" s="137"/>
    </row>
    <row r="57">
      <c r="O57" s="137"/>
      <c r="P57" s="137"/>
      <c r="S57" s="137"/>
      <c r="T57" s="137"/>
      <c r="U57" s="137"/>
    </row>
    <row r="58">
      <c r="O58" s="137"/>
      <c r="P58" s="137"/>
      <c r="S58" s="137"/>
      <c r="T58" s="137"/>
      <c r="U58" s="137"/>
    </row>
    <row r="59">
      <c r="O59" s="137"/>
      <c r="P59" s="137"/>
      <c r="S59" s="137"/>
      <c r="T59" s="137"/>
      <c r="U59" s="137"/>
    </row>
    <row r="60">
      <c r="O60" s="137"/>
      <c r="P60" s="137"/>
      <c r="S60" s="137"/>
      <c r="T60" s="137"/>
      <c r="U60" s="137"/>
    </row>
    <row r="61">
      <c r="O61" s="137"/>
      <c r="P61" s="137"/>
      <c r="S61" s="137"/>
      <c r="T61" s="137"/>
      <c r="U61" s="137"/>
    </row>
    <row r="62">
      <c r="O62" s="137"/>
      <c r="P62" s="137"/>
      <c r="S62" s="137"/>
      <c r="T62" s="137"/>
      <c r="U62" s="137"/>
    </row>
    <row r="63">
      <c r="O63" s="137"/>
      <c r="P63" s="137"/>
      <c r="S63" s="137"/>
      <c r="T63" s="137"/>
      <c r="U63" s="137"/>
    </row>
    <row r="64">
      <c r="O64" s="137"/>
      <c r="P64" s="137"/>
      <c r="S64" s="137"/>
      <c r="T64" s="137"/>
      <c r="U64" s="137"/>
    </row>
    <row r="65">
      <c r="O65" s="137"/>
      <c r="P65" s="137"/>
      <c r="S65" s="137"/>
      <c r="T65" s="137"/>
      <c r="U65" s="137"/>
    </row>
    <row r="66">
      <c r="O66" s="137"/>
      <c r="P66" s="137"/>
      <c r="S66" s="137"/>
      <c r="T66" s="137"/>
      <c r="U66" s="137"/>
    </row>
    <row r="67">
      <c r="O67" s="137"/>
      <c r="P67" s="137"/>
      <c r="S67" s="137"/>
      <c r="T67" s="137"/>
      <c r="U67" s="137"/>
    </row>
    <row r="68">
      <c r="O68" s="137"/>
      <c r="P68" s="137"/>
      <c r="S68" s="137"/>
      <c r="T68" s="137"/>
      <c r="U68" s="137"/>
    </row>
    <row r="69">
      <c r="O69" s="137"/>
      <c r="P69" s="137"/>
      <c r="S69" s="137"/>
      <c r="T69" s="137"/>
      <c r="U69" s="137"/>
    </row>
    <row r="70">
      <c r="O70" s="137"/>
      <c r="P70" s="137"/>
      <c r="S70" s="137"/>
      <c r="T70" s="137"/>
      <c r="U70" s="137"/>
    </row>
    <row r="71">
      <c r="O71" s="137"/>
      <c r="P71" s="137"/>
      <c r="S71" s="137"/>
      <c r="T71" s="137"/>
      <c r="U71" s="137"/>
    </row>
    <row r="72">
      <c r="O72" s="137"/>
      <c r="P72" s="137"/>
      <c r="S72" s="137"/>
      <c r="T72" s="137"/>
      <c r="U72" s="137"/>
    </row>
    <row r="73">
      <c r="O73" s="137"/>
      <c r="P73" s="137"/>
      <c r="S73" s="137"/>
      <c r="T73" s="137"/>
      <c r="U73" s="137"/>
    </row>
    <row r="74">
      <c r="O74" s="137"/>
      <c r="P74" s="137"/>
      <c r="S74" s="137"/>
      <c r="T74" s="137"/>
      <c r="U74" s="137"/>
    </row>
    <row r="75">
      <c r="O75" s="137"/>
      <c r="P75" s="137"/>
      <c r="S75" s="137"/>
      <c r="T75" s="137"/>
      <c r="U75" s="137"/>
    </row>
    <row r="76">
      <c r="O76" s="137"/>
      <c r="P76" s="137"/>
      <c r="S76" s="137"/>
      <c r="T76" s="137"/>
      <c r="U76" s="137"/>
    </row>
    <row r="77">
      <c r="O77" s="137"/>
      <c r="P77" s="137"/>
      <c r="S77" s="137"/>
      <c r="T77" s="137"/>
      <c r="U77" s="137"/>
    </row>
    <row r="78">
      <c r="O78" s="137"/>
      <c r="P78" s="137"/>
      <c r="S78" s="137"/>
      <c r="T78" s="137"/>
      <c r="U78" s="137"/>
    </row>
    <row r="79">
      <c r="O79" s="137"/>
      <c r="P79" s="137"/>
      <c r="S79" s="137"/>
      <c r="T79" s="137"/>
      <c r="U79" s="137"/>
    </row>
    <row r="80">
      <c r="O80" s="137"/>
      <c r="P80" s="137"/>
      <c r="S80" s="137"/>
      <c r="T80" s="137"/>
      <c r="U80" s="137"/>
    </row>
    <row r="81">
      <c r="O81" s="137"/>
      <c r="P81" s="137"/>
      <c r="S81" s="137"/>
      <c r="T81" s="137"/>
      <c r="U81" s="137"/>
    </row>
    <row r="82">
      <c r="O82" s="137"/>
      <c r="P82" s="137"/>
      <c r="S82" s="137"/>
      <c r="T82" s="137"/>
      <c r="U82" s="137"/>
    </row>
    <row r="83">
      <c r="O83" s="137"/>
      <c r="P83" s="137"/>
      <c r="S83" s="137"/>
      <c r="T83" s="137"/>
      <c r="U83" s="137"/>
    </row>
    <row r="84">
      <c r="O84" s="137"/>
      <c r="P84" s="137"/>
      <c r="S84" s="137"/>
      <c r="T84" s="137"/>
      <c r="U84" s="137"/>
    </row>
    <row r="85">
      <c r="O85" s="137"/>
      <c r="P85" s="137"/>
      <c r="S85" s="137"/>
      <c r="T85" s="137"/>
      <c r="U85" s="137"/>
    </row>
    <row r="86">
      <c r="O86" s="137"/>
      <c r="P86" s="137"/>
      <c r="S86" s="137"/>
      <c r="T86" s="137"/>
      <c r="U86" s="137"/>
    </row>
    <row r="87">
      <c r="O87" s="137"/>
      <c r="P87" s="137"/>
      <c r="S87" s="137"/>
      <c r="T87" s="137"/>
      <c r="U87" s="137"/>
    </row>
    <row r="88">
      <c r="O88" s="137"/>
      <c r="P88" s="137"/>
      <c r="S88" s="137"/>
      <c r="T88" s="137"/>
      <c r="U88" s="137"/>
    </row>
    <row r="89">
      <c r="O89" s="137"/>
      <c r="P89" s="137"/>
      <c r="S89" s="137"/>
      <c r="T89" s="137"/>
      <c r="U89" s="137"/>
    </row>
    <row r="90">
      <c r="O90" s="137"/>
      <c r="P90" s="137"/>
      <c r="S90" s="137"/>
      <c r="T90" s="137"/>
      <c r="U90" s="137"/>
    </row>
    <row r="91">
      <c r="O91" s="137"/>
      <c r="P91" s="137"/>
      <c r="S91" s="137"/>
      <c r="T91" s="137"/>
      <c r="U91" s="137"/>
    </row>
    <row r="92">
      <c r="O92" s="137"/>
      <c r="P92" s="137"/>
      <c r="S92" s="137"/>
      <c r="T92" s="137"/>
      <c r="U92" s="137"/>
    </row>
    <row r="93">
      <c r="O93" s="137"/>
      <c r="P93" s="137"/>
      <c r="S93" s="137"/>
      <c r="T93" s="137"/>
      <c r="U93" s="137"/>
    </row>
    <row r="94">
      <c r="O94" s="137"/>
      <c r="P94" s="137"/>
      <c r="S94" s="137"/>
      <c r="T94" s="137"/>
      <c r="U94" s="137"/>
    </row>
    <row r="95">
      <c r="O95" s="137"/>
      <c r="P95" s="137"/>
      <c r="S95" s="137"/>
      <c r="T95" s="137"/>
      <c r="U95" s="137"/>
    </row>
    <row r="96">
      <c r="O96" s="137"/>
      <c r="P96" s="137"/>
      <c r="S96" s="137"/>
      <c r="T96" s="137"/>
      <c r="U96" s="137"/>
    </row>
    <row r="97">
      <c r="O97" s="137"/>
      <c r="P97" s="137"/>
      <c r="S97" s="137"/>
      <c r="T97" s="137"/>
      <c r="U97" s="137"/>
    </row>
    <row r="98">
      <c r="O98" s="137"/>
      <c r="P98" s="137"/>
      <c r="S98" s="137"/>
      <c r="T98" s="137"/>
      <c r="U98" s="137"/>
    </row>
    <row r="99">
      <c r="O99" s="137"/>
      <c r="P99" s="137"/>
      <c r="S99" s="137"/>
      <c r="T99" s="137"/>
      <c r="U99" s="137"/>
    </row>
    <row r="100">
      <c r="O100" s="137"/>
      <c r="P100" s="137"/>
      <c r="S100" s="137"/>
      <c r="T100" s="137"/>
      <c r="U100" s="137"/>
    </row>
    <row r="101">
      <c r="O101" s="137"/>
      <c r="P101" s="137"/>
      <c r="S101" s="137"/>
      <c r="T101" s="137"/>
      <c r="U101" s="137"/>
    </row>
    <row r="102">
      <c r="O102" s="137"/>
      <c r="P102" s="137"/>
      <c r="S102" s="137"/>
      <c r="T102" s="137"/>
      <c r="U102" s="137"/>
    </row>
    <row r="103">
      <c r="O103" s="137"/>
      <c r="P103" s="137"/>
      <c r="S103" s="137"/>
      <c r="T103" s="137"/>
      <c r="U103" s="137"/>
    </row>
    <row r="104">
      <c r="O104" s="137"/>
      <c r="P104" s="137"/>
      <c r="S104" s="137"/>
      <c r="T104" s="137"/>
      <c r="U104" s="137"/>
    </row>
    <row r="105">
      <c r="O105" s="137"/>
      <c r="P105" s="137"/>
      <c r="S105" s="137"/>
      <c r="T105" s="137"/>
      <c r="U105" s="137"/>
    </row>
    <row r="106">
      <c r="O106" s="137"/>
      <c r="P106" s="137"/>
      <c r="S106" s="137"/>
      <c r="T106" s="137"/>
      <c r="U106" s="137"/>
    </row>
    <row r="107">
      <c r="O107" s="137"/>
      <c r="P107" s="137"/>
      <c r="S107" s="137"/>
      <c r="T107" s="137"/>
      <c r="U107" s="137"/>
    </row>
    <row r="108">
      <c r="O108" s="137"/>
      <c r="P108" s="137"/>
      <c r="S108" s="137"/>
      <c r="T108" s="137"/>
      <c r="U108" s="137"/>
    </row>
    <row r="109">
      <c r="O109" s="137"/>
      <c r="P109" s="137"/>
      <c r="S109" s="137"/>
      <c r="T109" s="137"/>
      <c r="U109" s="137"/>
    </row>
    <row r="110">
      <c r="O110" s="137"/>
      <c r="P110" s="137"/>
      <c r="S110" s="137"/>
      <c r="T110" s="137"/>
      <c r="U110" s="137"/>
    </row>
    <row r="111">
      <c r="O111" s="137"/>
      <c r="P111" s="137"/>
      <c r="S111" s="137"/>
      <c r="T111" s="137"/>
      <c r="U111" s="137"/>
    </row>
    <row r="112">
      <c r="O112" s="137"/>
      <c r="P112" s="137"/>
      <c r="S112" s="137"/>
      <c r="T112" s="137"/>
      <c r="U112" s="137"/>
    </row>
    <row r="113">
      <c r="O113" s="137"/>
      <c r="P113" s="137"/>
      <c r="S113" s="137"/>
      <c r="T113" s="137"/>
      <c r="U113" s="137"/>
    </row>
    <row r="114">
      <c r="O114" s="137"/>
      <c r="P114" s="137"/>
      <c r="S114" s="137"/>
      <c r="T114" s="137"/>
      <c r="U114" s="137"/>
    </row>
    <row r="115">
      <c r="O115" s="137"/>
      <c r="P115" s="137"/>
      <c r="S115" s="137"/>
      <c r="T115" s="137"/>
      <c r="U115" s="137"/>
    </row>
    <row r="116">
      <c r="O116" s="137"/>
      <c r="P116" s="137"/>
      <c r="S116" s="137"/>
      <c r="T116" s="137"/>
      <c r="U116" s="137"/>
    </row>
    <row r="117">
      <c r="O117" s="137"/>
      <c r="P117" s="137"/>
      <c r="S117" s="137"/>
      <c r="T117" s="137"/>
      <c r="U117" s="137"/>
    </row>
    <row r="118">
      <c r="O118" s="137"/>
      <c r="P118" s="137"/>
      <c r="S118" s="137"/>
      <c r="T118" s="137"/>
      <c r="U118" s="137"/>
    </row>
    <row r="119">
      <c r="O119" s="137"/>
      <c r="P119" s="137"/>
      <c r="S119" s="137"/>
      <c r="T119" s="137"/>
      <c r="U119" s="137"/>
    </row>
    <row r="120">
      <c r="O120" s="137"/>
      <c r="P120" s="137"/>
      <c r="S120" s="137"/>
      <c r="T120" s="137"/>
      <c r="U120" s="137"/>
    </row>
    <row r="121">
      <c r="O121" s="137"/>
      <c r="P121" s="137"/>
      <c r="S121" s="137"/>
      <c r="T121" s="137"/>
      <c r="U121" s="137"/>
    </row>
    <row r="122">
      <c r="O122" s="137"/>
      <c r="P122" s="137"/>
      <c r="S122" s="137"/>
      <c r="T122" s="137"/>
      <c r="U122" s="137"/>
    </row>
    <row r="123">
      <c r="O123" s="137"/>
      <c r="P123" s="137"/>
      <c r="S123" s="137"/>
      <c r="T123" s="137"/>
      <c r="U123" s="137"/>
    </row>
    <row r="124">
      <c r="O124" s="137"/>
      <c r="P124" s="137"/>
      <c r="S124" s="137"/>
      <c r="T124" s="137"/>
      <c r="U124" s="137"/>
    </row>
    <row r="125">
      <c r="O125" s="137"/>
      <c r="P125" s="137"/>
      <c r="S125" s="137"/>
      <c r="T125" s="137"/>
      <c r="U125" s="137"/>
    </row>
    <row r="126">
      <c r="O126" s="137"/>
      <c r="P126" s="137"/>
      <c r="S126" s="137"/>
      <c r="T126" s="137"/>
      <c r="U126" s="137"/>
    </row>
    <row r="127">
      <c r="O127" s="137"/>
      <c r="P127" s="137"/>
      <c r="S127" s="137"/>
      <c r="T127" s="137"/>
      <c r="U127" s="137"/>
    </row>
    <row r="128">
      <c r="O128" s="137"/>
      <c r="P128" s="137"/>
      <c r="S128" s="137"/>
      <c r="T128" s="137"/>
      <c r="U128" s="137"/>
    </row>
    <row r="129">
      <c r="O129" s="137"/>
      <c r="P129" s="137"/>
      <c r="S129" s="137"/>
      <c r="T129" s="137"/>
      <c r="U129" s="137"/>
    </row>
    <row r="130">
      <c r="O130" s="137"/>
      <c r="P130" s="137"/>
      <c r="S130" s="137"/>
      <c r="T130" s="137"/>
      <c r="U130" s="137"/>
    </row>
    <row r="131">
      <c r="O131" s="137"/>
      <c r="P131" s="137"/>
      <c r="S131" s="137"/>
      <c r="T131" s="137"/>
      <c r="U131" s="137"/>
    </row>
    <row r="132">
      <c r="O132" s="137"/>
      <c r="P132" s="137"/>
      <c r="S132" s="137"/>
      <c r="T132" s="137"/>
      <c r="U132" s="137"/>
    </row>
    <row r="133">
      <c r="O133" s="137"/>
      <c r="P133" s="137"/>
      <c r="S133" s="137"/>
      <c r="T133" s="137"/>
      <c r="U133" s="137"/>
    </row>
    <row r="134">
      <c r="O134" s="137"/>
      <c r="P134" s="137"/>
      <c r="S134" s="137"/>
      <c r="T134" s="137"/>
      <c r="U134" s="137"/>
    </row>
    <row r="135">
      <c r="O135" s="137"/>
      <c r="P135" s="137"/>
      <c r="S135" s="137"/>
      <c r="T135" s="137"/>
      <c r="U135" s="137"/>
    </row>
    <row r="136">
      <c r="O136" s="137"/>
      <c r="P136" s="137"/>
      <c r="S136" s="137"/>
      <c r="T136" s="137"/>
      <c r="U136" s="137"/>
    </row>
    <row r="137">
      <c r="O137" s="137"/>
      <c r="P137" s="137"/>
      <c r="S137" s="137"/>
      <c r="T137" s="137"/>
      <c r="U137" s="137"/>
    </row>
    <row r="138">
      <c r="O138" s="137"/>
      <c r="P138" s="137"/>
      <c r="S138" s="137"/>
      <c r="T138" s="137"/>
      <c r="U138" s="137"/>
    </row>
    <row r="139">
      <c r="O139" s="137"/>
      <c r="P139" s="137"/>
      <c r="S139" s="137"/>
      <c r="T139" s="137"/>
      <c r="U139" s="137"/>
    </row>
    <row r="140">
      <c r="O140" s="137"/>
      <c r="P140" s="137"/>
      <c r="S140" s="137"/>
      <c r="T140" s="137"/>
      <c r="U140" s="137"/>
    </row>
    <row r="141">
      <c r="O141" s="137"/>
      <c r="P141" s="137"/>
      <c r="S141" s="137"/>
      <c r="T141" s="137"/>
      <c r="U141" s="137"/>
    </row>
    <row r="142">
      <c r="O142" s="137"/>
      <c r="P142" s="137"/>
      <c r="S142" s="137"/>
      <c r="T142" s="137"/>
      <c r="U142" s="137"/>
    </row>
    <row r="143">
      <c r="O143" s="137"/>
      <c r="P143" s="137"/>
      <c r="S143" s="137"/>
      <c r="T143" s="137"/>
      <c r="U143" s="137"/>
    </row>
    <row r="144">
      <c r="O144" s="137"/>
      <c r="P144" s="137"/>
      <c r="S144" s="137"/>
      <c r="T144" s="137"/>
      <c r="U144" s="137"/>
    </row>
    <row r="145">
      <c r="O145" s="137"/>
      <c r="P145" s="137"/>
      <c r="S145" s="137"/>
      <c r="T145" s="137"/>
      <c r="U145" s="137"/>
    </row>
    <row r="146">
      <c r="O146" s="137"/>
      <c r="P146" s="137"/>
      <c r="S146" s="137"/>
      <c r="T146" s="137"/>
      <c r="U146" s="137"/>
    </row>
    <row r="147">
      <c r="O147" s="137"/>
      <c r="P147" s="137"/>
      <c r="S147" s="137"/>
      <c r="T147" s="137"/>
      <c r="U147" s="137"/>
    </row>
    <row r="148">
      <c r="O148" s="137"/>
      <c r="P148" s="137"/>
      <c r="S148" s="137"/>
      <c r="T148" s="137"/>
      <c r="U148" s="137"/>
    </row>
    <row r="149">
      <c r="O149" s="137"/>
      <c r="P149" s="137"/>
      <c r="S149" s="137"/>
      <c r="T149" s="137"/>
      <c r="U149" s="137"/>
    </row>
    <row r="150">
      <c r="O150" s="137"/>
      <c r="P150" s="137"/>
      <c r="S150" s="137"/>
      <c r="T150" s="137"/>
      <c r="U150" s="137"/>
    </row>
    <row r="151">
      <c r="O151" s="137"/>
      <c r="P151" s="137"/>
      <c r="S151" s="137"/>
      <c r="T151" s="137"/>
      <c r="U151" s="137"/>
    </row>
    <row r="152">
      <c r="O152" s="137"/>
      <c r="P152" s="137"/>
      <c r="S152" s="137"/>
      <c r="T152" s="137"/>
      <c r="U152" s="137"/>
    </row>
    <row r="153">
      <c r="O153" s="137"/>
      <c r="P153" s="137"/>
      <c r="S153" s="137"/>
      <c r="T153" s="137"/>
      <c r="U153" s="137"/>
    </row>
    <row r="154">
      <c r="O154" s="137"/>
      <c r="P154" s="137"/>
      <c r="S154" s="137"/>
      <c r="T154" s="137"/>
      <c r="U154" s="137"/>
    </row>
    <row r="155">
      <c r="O155" s="137"/>
      <c r="P155" s="137"/>
      <c r="S155" s="137"/>
      <c r="T155" s="137"/>
      <c r="U155" s="137"/>
    </row>
    <row r="156">
      <c r="O156" s="137"/>
      <c r="P156" s="137"/>
      <c r="S156" s="137"/>
      <c r="T156" s="137"/>
      <c r="U156" s="137"/>
    </row>
    <row r="157">
      <c r="O157" s="137"/>
      <c r="P157" s="137"/>
      <c r="S157" s="137"/>
      <c r="T157" s="137"/>
      <c r="U157" s="137"/>
    </row>
    <row r="158">
      <c r="O158" s="137"/>
      <c r="P158" s="137"/>
      <c r="S158" s="137"/>
      <c r="T158" s="137"/>
      <c r="U158" s="137"/>
    </row>
    <row r="159">
      <c r="O159" s="137"/>
      <c r="P159" s="137"/>
      <c r="S159" s="137"/>
      <c r="T159" s="137"/>
      <c r="U159" s="137"/>
    </row>
    <row r="160">
      <c r="O160" s="137"/>
      <c r="P160" s="137"/>
      <c r="S160" s="137"/>
      <c r="T160" s="137"/>
      <c r="U160" s="137"/>
    </row>
    <row r="161">
      <c r="O161" s="137"/>
      <c r="P161" s="137"/>
      <c r="S161" s="137"/>
      <c r="T161" s="137"/>
      <c r="U161" s="137"/>
    </row>
    <row r="162">
      <c r="O162" s="137"/>
      <c r="P162" s="137"/>
      <c r="S162" s="137"/>
      <c r="T162" s="137"/>
      <c r="U162" s="137"/>
    </row>
    <row r="163">
      <c r="O163" s="137"/>
      <c r="P163" s="137"/>
      <c r="S163" s="137"/>
      <c r="T163" s="137"/>
      <c r="U163" s="137"/>
    </row>
    <row r="164">
      <c r="O164" s="137"/>
      <c r="P164" s="137"/>
      <c r="S164" s="137"/>
      <c r="T164" s="137"/>
      <c r="U164" s="137"/>
    </row>
    <row r="165">
      <c r="O165" s="137"/>
      <c r="P165" s="137"/>
      <c r="S165" s="137"/>
      <c r="T165" s="137"/>
      <c r="U165" s="137"/>
    </row>
    <row r="166">
      <c r="O166" s="137"/>
      <c r="P166" s="137"/>
      <c r="S166" s="137"/>
      <c r="T166" s="137"/>
      <c r="U166" s="137"/>
    </row>
    <row r="167">
      <c r="O167" s="137"/>
      <c r="P167" s="137"/>
      <c r="S167" s="137"/>
      <c r="T167" s="137"/>
      <c r="U167" s="137"/>
    </row>
    <row r="168">
      <c r="O168" s="137"/>
      <c r="P168" s="137"/>
      <c r="S168" s="137"/>
      <c r="T168" s="137"/>
      <c r="U168" s="137"/>
    </row>
    <row r="169">
      <c r="O169" s="137"/>
      <c r="P169" s="137"/>
      <c r="S169" s="137"/>
      <c r="T169" s="137"/>
      <c r="U169" s="137"/>
    </row>
    <row r="170">
      <c r="O170" s="137"/>
      <c r="P170" s="137"/>
      <c r="S170" s="137"/>
      <c r="T170" s="137"/>
      <c r="U170" s="137"/>
    </row>
    <row r="171">
      <c r="O171" s="137"/>
      <c r="P171" s="137"/>
      <c r="S171" s="137"/>
      <c r="T171" s="137"/>
      <c r="U171" s="137"/>
    </row>
    <row r="172">
      <c r="O172" s="137"/>
      <c r="P172" s="137"/>
      <c r="S172" s="137"/>
      <c r="T172" s="137"/>
      <c r="U172" s="137"/>
    </row>
    <row r="173">
      <c r="O173" s="137"/>
      <c r="P173" s="137"/>
      <c r="S173" s="137"/>
      <c r="T173" s="137"/>
      <c r="U173" s="137"/>
    </row>
    <row r="174">
      <c r="O174" s="137"/>
      <c r="P174" s="137"/>
      <c r="S174" s="137"/>
      <c r="T174" s="137"/>
      <c r="U174" s="137"/>
    </row>
    <row r="175">
      <c r="O175" s="137"/>
      <c r="P175" s="137"/>
      <c r="S175" s="137"/>
      <c r="T175" s="137"/>
      <c r="U175" s="137"/>
    </row>
    <row r="176">
      <c r="O176" s="137"/>
      <c r="P176" s="137"/>
      <c r="S176" s="137"/>
      <c r="T176" s="137"/>
      <c r="U176" s="137"/>
    </row>
    <row r="177">
      <c r="O177" s="137"/>
      <c r="P177" s="137"/>
      <c r="S177" s="137"/>
      <c r="T177" s="137"/>
      <c r="U177" s="137"/>
    </row>
    <row r="178">
      <c r="O178" s="137"/>
      <c r="P178" s="137"/>
      <c r="S178" s="137"/>
      <c r="T178" s="137"/>
      <c r="U178" s="137"/>
    </row>
    <row r="179">
      <c r="O179" s="137"/>
      <c r="P179" s="137"/>
      <c r="S179" s="137"/>
      <c r="T179" s="137"/>
      <c r="U179" s="137"/>
    </row>
    <row r="180">
      <c r="O180" s="137"/>
      <c r="P180" s="137"/>
      <c r="S180" s="137"/>
      <c r="T180" s="137"/>
      <c r="U180" s="137"/>
    </row>
    <row r="181">
      <c r="O181" s="137"/>
      <c r="P181" s="137"/>
      <c r="S181" s="137"/>
      <c r="T181" s="137"/>
      <c r="U181" s="137"/>
    </row>
    <row r="182">
      <c r="O182" s="137"/>
      <c r="P182" s="137"/>
      <c r="S182" s="137"/>
      <c r="T182" s="137"/>
      <c r="U182" s="137"/>
    </row>
    <row r="183">
      <c r="O183" s="137"/>
      <c r="P183" s="137"/>
      <c r="S183" s="137"/>
      <c r="T183" s="137"/>
      <c r="U183" s="137"/>
    </row>
    <row r="184">
      <c r="O184" s="137"/>
      <c r="P184" s="137"/>
      <c r="S184" s="137"/>
      <c r="T184" s="137"/>
      <c r="U184" s="137"/>
    </row>
    <row r="185">
      <c r="O185" s="137"/>
      <c r="P185" s="137"/>
      <c r="S185" s="137"/>
      <c r="T185" s="137"/>
      <c r="U185" s="137"/>
    </row>
    <row r="186">
      <c r="O186" s="137"/>
      <c r="P186" s="137"/>
      <c r="S186" s="137"/>
      <c r="T186" s="137"/>
      <c r="U186" s="137"/>
    </row>
    <row r="187">
      <c r="O187" s="137"/>
      <c r="P187" s="137"/>
      <c r="S187" s="137"/>
      <c r="T187" s="137"/>
      <c r="U187" s="137"/>
    </row>
    <row r="188">
      <c r="O188" s="137"/>
      <c r="P188" s="137"/>
      <c r="S188" s="137"/>
      <c r="T188" s="137"/>
      <c r="U188" s="137"/>
    </row>
    <row r="189">
      <c r="O189" s="137"/>
      <c r="P189" s="137"/>
      <c r="S189" s="137"/>
      <c r="T189" s="137"/>
      <c r="U189" s="137"/>
    </row>
    <row r="190">
      <c r="O190" s="137"/>
      <c r="P190" s="137"/>
      <c r="S190" s="137"/>
      <c r="T190" s="137"/>
      <c r="U190" s="137"/>
    </row>
    <row r="191">
      <c r="O191" s="137"/>
      <c r="P191" s="137"/>
      <c r="S191" s="137"/>
      <c r="T191" s="137"/>
      <c r="U191" s="137"/>
    </row>
    <row r="192">
      <c r="O192" s="137"/>
      <c r="P192" s="137"/>
      <c r="S192" s="137"/>
      <c r="T192" s="137"/>
      <c r="U192" s="137"/>
    </row>
    <row r="193">
      <c r="O193" s="137"/>
      <c r="P193" s="137"/>
      <c r="S193" s="137"/>
      <c r="T193" s="137"/>
      <c r="U193" s="137"/>
    </row>
    <row r="194">
      <c r="O194" s="137"/>
      <c r="P194" s="137"/>
      <c r="S194" s="137"/>
      <c r="T194" s="137"/>
      <c r="U194" s="137"/>
    </row>
    <row r="195">
      <c r="O195" s="137"/>
      <c r="P195" s="137"/>
      <c r="S195" s="137"/>
      <c r="T195" s="137"/>
      <c r="U195" s="137"/>
    </row>
    <row r="196">
      <c r="O196" s="137"/>
      <c r="P196" s="137"/>
      <c r="S196" s="137"/>
      <c r="T196" s="137"/>
      <c r="U196" s="137"/>
    </row>
    <row r="197">
      <c r="O197" s="137"/>
      <c r="P197" s="137"/>
      <c r="S197" s="137"/>
      <c r="T197" s="137"/>
      <c r="U197" s="137"/>
    </row>
    <row r="198">
      <c r="O198" s="137"/>
      <c r="P198" s="137"/>
      <c r="S198" s="137"/>
      <c r="T198" s="137"/>
      <c r="U198" s="137"/>
    </row>
    <row r="199">
      <c r="O199" s="137"/>
      <c r="P199" s="137"/>
      <c r="S199" s="137"/>
      <c r="T199" s="137"/>
      <c r="U199" s="137"/>
    </row>
    <row r="200">
      <c r="O200" s="137"/>
      <c r="P200" s="137"/>
      <c r="S200" s="137"/>
      <c r="T200" s="137"/>
      <c r="U200" s="137"/>
    </row>
    <row r="201">
      <c r="O201" s="137"/>
      <c r="P201" s="137"/>
      <c r="S201" s="137"/>
      <c r="T201" s="137"/>
      <c r="U201" s="137"/>
    </row>
    <row r="202">
      <c r="O202" s="137"/>
      <c r="P202" s="137"/>
      <c r="S202" s="137"/>
      <c r="T202" s="137"/>
      <c r="U202" s="137"/>
    </row>
    <row r="203">
      <c r="O203" s="137"/>
      <c r="P203" s="137"/>
      <c r="S203" s="137"/>
      <c r="T203" s="137"/>
      <c r="U203" s="137"/>
    </row>
    <row r="204">
      <c r="O204" s="137"/>
      <c r="P204" s="137"/>
      <c r="S204" s="137"/>
      <c r="T204" s="137"/>
      <c r="U204" s="137"/>
    </row>
    <row r="205">
      <c r="O205" s="137"/>
      <c r="P205" s="137"/>
      <c r="S205" s="137"/>
      <c r="T205" s="137"/>
      <c r="U205" s="137"/>
    </row>
    <row r="206">
      <c r="O206" s="137"/>
      <c r="P206" s="137"/>
      <c r="S206" s="137"/>
      <c r="T206" s="137"/>
      <c r="U206" s="137"/>
    </row>
    <row r="207">
      <c r="O207" s="137"/>
      <c r="P207" s="137"/>
      <c r="S207" s="137"/>
      <c r="T207" s="137"/>
      <c r="U207" s="137"/>
    </row>
    <row r="208">
      <c r="O208" s="137"/>
      <c r="P208" s="137"/>
      <c r="S208" s="137"/>
      <c r="T208" s="137"/>
      <c r="U208" s="137"/>
    </row>
    <row r="209">
      <c r="O209" s="137"/>
      <c r="P209" s="137"/>
      <c r="S209" s="137"/>
      <c r="T209" s="137"/>
      <c r="U209" s="137"/>
    </row>
    <row r="210">
      <c r="O210" s="137"/>
      <c r="P210" s="137"/>
      <c r="S210" s="137"/>
      <c r="T210" s="137"/>
      <c r="U210" s="137"/>
    </row>
    <row r="211">
      <c r="O211" s="137"/>
      <c r="P211" s="137"/>
      <c r="S211" s="137"/>
      <c r="T211" s="137"/>
      <c r="U211" s="137"/>
    </row>
    <row r="212">
      <c r="O212" s="137"/>
      <c r="P212" s="137"/>
      <c r="S212" s="137"/>
      <c r="T212" s="137"/>
      <c r="U212" s="137"/>
    </row>
    <row r="213">
      <c r="O213" s="137"/>
      <c r="P213" s="137"/>
      <c r="S213" s="137"/>
      <c r="T213" s="137"/>
      <c r="U213" s="137"/>
    </row>
    <row r="214">
      <c r="O214" s="137"/>
      <c r="P214" s="137"/>
      <c r="S214" s="137"/>
      <c r="T214" s="137"/>
      <c r="U214" s="137"/>
    </row>
    <row r="215">
      <c r="O215" s="137"/>
      <c r="P215" s="137"/>
      <c r="S215" s="137"/>
      <c r="T215" s="137"/>
      <c r="U215" s="137"/>
    </row>
    <row r="216">
      <c r="O216" s="137"/>
      <c r="P216" s="137"/>
      <c r="S216" s="137"/>
      <c r="T216" s="137"/>
      <c r="U216" s="137"/>
    </row>
    <row r="217">
      <c r="O217" s="137"/>
      <c r="P217" s="137"/>
      <c r="S217" s="137"/>
      <c r="T217" s="137"/>
      <c r="U217" s="137"/>
    </row>
    <row r="218">
      <c r="O218" s="137"/>
      <c r="P218" s="137"/>
      <c r="S218" s="137"/>
      <c r="T218" s="137"/>
      <c r="U218" s="137"/>
    </row>
    <row r="219">
      <c r="O219" s="137"/>
      <c r="P219" s="137"/>
      <c r="S219" s="137"/>
      <c r="T219" s="137"/>
      <c r="U219" s="137"/>
    </row>
    <row r="220">
      <c r="O220" s="137"/>
      <c r="P220" s="137"/>
      <c r="S220" s="137"/>
      <c r="T220" s="137"/>
      <c r="U220" s="137"/>
    </row>
    <row r="221">
      <c r="O221" s="137"/>
      <c r="P221" s="137"/>
      <c r="S221" s="137"/>
      <c r="T221" s="137"/>
      <c r="U221" s="137"/>
    </row>
    <row r="222">
      <c r="O222" s="137"/>
      <c r="P222" s="137"/>
      <c r="S222" s="137"/>
      <c r="T222" s="137"/>
      <c r="U222" s="137"/>
    </row>
    <row r="223">
      <c r="O223" s="137"/>
      <c r="P223" s="137"/>
      <c r="S223" s="137"/>
      <c r="T223" s="137"/>
      <c r="U223" s="137"/>
    </row>
    <row r="224">
      <c r="O224" s="137"/>
      <c r="P224" s="137"/>
      <c r="S224" s="137"/>
      <c r="T224" s="137"/>
      <c r="U224" s="137"/>
    </row>
    <row r="225">
      <c r="O225" s="137"/>
      <c r="P225" s="137"/>
      <c r="S225" s="137"/>
      <c r="T225" s="137"/>
      <c r="U225" s="137"/>
    </row>
    <row r="226">
      <c r="O226" s="137"/>
      <c r="P226" s="137"/>
      <c r="S226" s="137"/>
      <c r="T226" s="137"/>
      <c r="U226" s="137"/>
    </row>
    <row r="227">
      <c r="O227" s="137"/>
      <c r="P227" s="137"/>
      <c r="S227" s="137"/>
      <c r="T227" s="137"/>
      <c r="U227" s="137"/>
    </row>
    <row r="228">
      <c r="O228" s="137"/>
      <c r="P228" s="137"/>
      <c r="S228" s="137"/>
      <c r="T228" s="137"/>
      <c r="U228" s="137"/>
    </row>
    <row r="229">
      <c r="O229" s="137"/>
      <c r="P229" s="137"/>
      <c r="S229" s="137"/>
      <c r="T229" s="137"/>
      <c r="U229" s="137"/>
    </row>
    <row r="230">
      <c r="O230" s="137"/>
      <c r="P230" s="137"/>
      <c r="S230" s="137"/>
      <c r="T230" s="137"/>
      <c r="U230" s="137"/>
    </row>
    <row r="231">
      <c r="O231" s="137"/>
      <c r="P231" s="137"/>
      <c r="S231" s="137"/>
      <c r="T231" s="137"/>
      <c r="U231" s="137"/>
    </row>
    <row r="232">
      <c r="O232" s="137"/>
      <c r="P232" s="137"/>
      <c r="S232" s="137"/>
      <c r="T232" s="137"/>
      <c r="U232" s="137"/>
    </row>
    <row r="233">
      <c r="O233" s="137"/>
      <c r="P233" s="137"/>
      <c r="S233" s="137"/>
      <c r="T233" s="137"/>
      <c r="U233" s="137"/>
    </row>
    <row r="234">
      <c r="O234" s="137"/>
      <c r="P234" s="137"/>
      <c r="S234" s="137"/>
      <c r="T234" s="137"/>
      <c r="U234" s="137"/>
    </row>
    <row r="235">
      <c r="O235" s="137"/>
      <c r="P235" s="137"/>
      <c r="S235" s="137"/>
      <c r="T235" s="137"/>
      <c r="U235" s="137"/>
    </row>
    <row r="236">
      <c r="O236" s="137"/>
      <c r="P236" s="137"/>
      <c r="S236" s="137"/>
      <c r="T236" s="137"/>
      <c r="U236" s="137"/>
    </row>
    <row r="237">
      <c r="O237" s="137"/>
      <c r="P237" s="137"/>
      <c r="S237" s="137"/>
      <c r="T237" s="137"/>
      <c r="U237" s="137"/>
    </row>
    <row r="238">
      <c r="O238" s="137"/>
      <c r="P238" s="137"/>
      <c r="S238" s="137"/>
      <c r="T238" s="137"/>
      <c r="U238" s="137"/>
    </row>
    <row r="239">
      <c r="O239" s="137"/>
      <c r="P239" s="137"/>
      <c r="S239" s="137"/>
      <c r="T239" s="137"/>
      <c r="U239" s="137"/>
    </row>
    <row r="240">
      <c r="O240" s="137"/>
      <c r="P240" s="137"/>
      <c r="S240" s="137"/>
      <c r="T240" s="137"/>
      <c r="U240" s="137"/>
    </row>
    <row r="241">
      <c r="O241" s="137"/>
      <c r="P241" s="137"/>
      <c r="S241" s="137"/>
      <c r="T241" s="137"/>
      <c r="U241" s="137"/>
    </row>
    <row r="242">
      <c r="O242" s="137"/>
      <c r="P242" s="137"/>
      <c r="S242" s="137"/>
      <c r="T242" s="137"/>
      <c r="U242" s="137"/>
    </row>
    <row r="243">
      <c r="O243" s="137"/>
      <c r="P243" s="137"/>
      <c r="S243" s="137"/>
      <c r="T243" s="137"/>
      <c r="U243" s="137"/>
    </row>
    <row r="244">
      <c r="O244" s="137"/>
      <c r="P244" s="137"/>
      <c r="S244" s="137"/>
      <c r="T244" s="137"/>
      <c r="U244" s="137"/>
    </row>
    <row r="245">
      <c r="O245" s="137"/>
      <c r="P245" s="137"/>
      <c r="S245" s="137"/>
      <c r="T245" s="137"/>
      <c r="U245" s="137"/>
    </row>
    <row r="246">
      <c r="O246" s="137"/>
      <c r="P246" s="137"/>
      <c r="S246" s="137"/>
      <c r="T246" s="137"/>
      <c r="U246" s="137"/>
    </row>
    <row r="247">
      <c r="O247" s="137"/>
      <c r="P247" s="137"/>
      <c r="S247" s="137"/>
      <c r="T247" s="137"/>
      <c r="U247" s="137"/>
    </row>
    <row r="248">
      <c r="O248" s="137"/>
      <c r="P248" s="137"/>
      <c r="S248" s="137"/>
      <c r="T248" s="137"/>
      <c r="U248" s="137"/>
    </row>
    <row r="249">
      <c r="O249" s="137"/>
      <c r="P249" s="137"/>
      <c r="S249" s="137"/>
      <c r="T249" s="137"/>
      <c r="U249" s="137"/>
    </row>
    <row r="250">
      <c r="O250" s="137"/>
      <c r="P250" s="137"/>
      <c r="S250" s="137"/>
      <c r="T250" s="137"/>
      <c r="U250" s="137"/>
    </row>
    <row r="251">
      <c r="O251" s="137"/>
      <c r="P251" s="137"/>
      <c r="S251" s="137"/>
      <c r="T251" s="137"/>
      <c r="U251" s="137"/>
    </row>
    <row r="252">
      <c r="O252" s="137"/>
      <c r="P252" s="137"/>
      <c r="S252" s="137"/>
      <c r="T252" s="137"/>
      <c r="U252" s="137"/>
    </row>
    <row r="253">
      <c r="O253" s="137"/>
      <c r="P253" s="137"/>
      <c r="S253" s="137"/>
      <c r="T253" s="137"/>
      <c r="U253" s="137"/>
    </row>
    <row r="254">
      <c r="O254" s="137"/>
      <c r="P254" s="137"/>
      <c r="S254" s="137"/>
      <c r="T254" s="137"/>
      <c r="U254" s="137"/>
    </row>
    <row r="255">
      <c r="O255" s="137"/>
      <c r="P255" s="137"/>
      <c r="S255" s="137"/>
      <c r="T255" s="137"/>
      <c r="U255" s="137"/>
    </row>
    <row r="256">
      <c r="O256" s="137"/>
      <c r="P256" s="137"/>
      <c r="S256" s="137"/>
      <c r="T256" s="137"/>
      <c r="U256" s="137"/>
    </row>
    <row r="257">
      <c r="O257" s="137"/>
      <c r="P257" s="137"/>
      <c r="S257" s="137"/>
      <c r="T257" s="137"/>
      <c r="U257" s="137"/>
    </row>
    <row r="258">
      <c r="O258" s="137"/>
      <c r="P258" s="137"/>
      <c r="S258" s="137"/>
      <c r="T258" s="137"/>
      <c r="U258" s="137"/>
    </row>
    <row r="259">
      <c r="O259" s="137"/>
      <c r="P259" s="137"/>
      <c r="S259" s="137"/>
      <c r="T259" s="137"/>
      <c r="U259" s="137"/>
    </row>
    <row r="260">
      <c r="O260" s="137"/>
      <c r="P260" s="137"/>
      <c r="S260" s="137"/>
      <c r="T260" s="137"/>
      <c r="U260" s="137"/>
    </row>
    <row r="261">
      <c r="O261" s="137"/>
      <c r="P261" s="137"/>
      <c r="S261" s="137"/>
      <c r="T261" s="137"/>
      <c r="U261" s="137"/>
    </row>
    <row r="262">
      <c r="O262" s="137"/>
      <c r="P262" s="137"/>
      <c r="S262" s="137"/>
      <c r="T262" s="137"/>
      <c r="U262" s="137"/>
    </row>
    <row r="263">
      <c r="O263" s="137"/>
      <c r="P263" s="137"/>
      <c r="S263" s="137"/>
      <c r="T263" s="137"/>
      <c r="U263" s="137"/>
    </row>
    <row r="264">
      <c r="O264" s="137"/>
      <c r="P264" s="137"/>
      <c r="S264" s="137"/>
      <c r="T264" s="137"/>
      <c r="U264" s="137"/>
    </row>
    <row r="265">
      <c r="O265" s="137"/>
      <c r="P265" s="137"/>
      <c r="S265" s="137"/>
      <c r="T265" s="137"/>
      <c r="U265" s="137"/>
    </row>
    <row r="266">
      <c r="O266" s="137"/>
      <c r="P266" s="137"/>
      <c r="S266" s="137"/>
      <c r="T266" s="137"/>
      <c r="U266" s="137"/>
    </row>
    <row r="267">
      <c r="O267" s="137"/>
      <c r="P267" s="137"/>
      <c r="S267" s="137"/>
      <c r="T267" s="137"/>
      <c r="U267" s="137"/>
    </row>
    <row r="268">
      <c r="O268" s="137"/>
      <c r="P268" s="137"/>
      <c r="S268" s="137"/>
      <c r="T268" s="137"/>
      <c r="U268" s="137"/>
    </row>
    <row r="269">
      <c r="O269" s="137"/>
      <c r="P269" s="137"/>
      <c r="S269" s="137"/>
      <c r="T269" s="137"/>
      <c r="U269" s="137"/>
    </row>
    <row r="270">
      <c r="O270" s="137"/>
      <c r="P270" s="137"/>
      <c r="S270" s="137"/>
      <c r="T270" s="137"/>
      <c r="U270" s="137"/>
    </row>
    <row r="271">
      <c r="O271" s="137"/>
      <c r="P271" s="137"/>
      <c r="S271" s="137"/>
      <c r="T271" s="137"/>
      <c r="U271" s="137"/>
    </row>
    <row r="272">
      <c r="O272" s="137"/>
      <c r="P272" s="137"/>
      <c r="S272" s="137"/>
      <c r="T272" s="137"/>
      <c r="U272" s="137"/>
    </row>
    <row r="273">
      <c r="O273" s="137"/>
      <c r="P273" s="137"/>
      <c r="S273" s="137"/>
      <c r="T273" s="137"/>
      <c r="U273" s="137"/>
    </row>
    <row r="274">
      <c r="O274" s="137"/>
      <c r="P274" s="137"/>
      <c r="S274" s="137"/>
      <c r="T274" s="137"/>
      <c r="U274" s="137"/>
    </row>
    <row r="275">
      <c r="O275" s="137"/>
      <c r="P275" s="137"/>
      <c r="S275" s="137"/>
      <c r="T275" s="137"/>
      <c r="U275" s="137"/>
    </row>
    <row r="276">
      <c r="O276" s="137"/>
      <c r="P276" s="137"/>
      <c r="S276" s="137"/>
      <c r="T276" s="137"/>
      <c r="U276" s="137"/>
    </row>
    <row r="277">
      <c r="O277" s="137"/>
      <c r="P277" s="137"/>
      <c r="S277" s="137"/>
      <c r="T277" s="137"/>
      <c r="U277" s="137"/>
    </row>
    <row r="278">
      <c r="O278" s="137"/>
      <c r="P278" s="137"/>
      <c r="S278" s="137"/>
      <c r="T278" s="137"/>
      <c r="U278" s="137"/>
    </row>
    <row r="279">
      <c r="O279" s="137"/>
      <c r="P279" s="137"/>
      <c r="S279" s="137"/>
      <c r="T279" s="137"/>
      <c r="U279" s="137"/>
    </row>
    <row r="280">
      <c r="O280" s="137"/>
      <c r="P280" s="137"/>
      <c r="S280" s="137"/>
      <c r="T280" s="137"/>
      <c r="U280" s="137"/>
    </row>
    <row r="281">
      <c r="O281" s="137"/>
      <c r="P281" s="137"/>
      <c r="S281" s="137"/>
      <c r="T281" s="137"/>
      <c r="U281" s="137"/>
    </row>
    <row r="282">
      <c r="O282" s="137"/>
      <c r="P282" s="137"/>
      <c r="S282" s="137"/>
      <c r="T282" s="137"/>
      <c r="U282" s="137"/>
    </row>
    <row r="283">
      <c r="O283" s="137"/>
      <c r="P283" s="137"/>
      <c r="S283" s="137"/>
      <c r="T283" s="137"/>
      <c r="U283" s="137"/>
    </row>
    <row r="284">
      <c r="O284" s="137"/>
      <c r="P284" s="137"/>
      <c r="S284" s="137"/>
      <c r="T284" s="137"/>
      <c r="U284" s="137"/>
    </row>
    <row r="285">
      <c r="O285" s="137"/>
      <c r="P285" s="137"/>
      <c r="S285" s="137"/>
      <c r="T285" s="137"/>
      <c r="U285" s="137"/>
    </row>
    <row r="286">
      <c r="O286" s="137"/>
      <c r="P286" s="137"/>
      <c r="S286" s="137"/>
      <c r="T286" s="137"/>
      <c r="U286" s="137"/>
    </row>
    <row r="287">
      <c r="O287" s="137"/>
      <c r="P287" s="137"/>
      <c r="S287" s="137"/>
      <c r="T287" s="137"/>
      <c r="U287" s="137"/>
    </row>
    <row r="288">
      <c r="O288" s="137"/>
      <c r="P288" s="137"/>
      <c r="S288" s="137"/>
      <c r="T288" s="137"/>
      <c r="U288" s="137"/>
    </row>
    <row r="289">
      <c r="O289" s="137"/>
      <c r="P289" s="137"/>
      <c r="S289" s="137"/>
      <c r="T289" s="137"/>
      <c r="U289" s="137"/>
    </row>
    <row r="290">
      <c r="O290" s="137"/>
      <c r="P290" s="137"/>
      <c r="S290" s="137"/>
      <c r="T290" s="137"/>
      <c r="U290" s="137"/>
    </row>
    <row r="291">
      <c r="O291" s="137"/>
      <c r="P291" s="137"/>
      <c r="S291" s="137"/>
      <c r="T291" s="137"/>
      <c r="U291" s="137"/>
    </row>
    <row r="292">
      <c r="O292" s="137"/>
      <c r="P292" s="137"/>
      <c r="S292" s="137"/>
      <c r="T292" s="137"/>
      <c r="U292" s="137"/>
    </row>
    <row r="293">
      <c r="O293" s="137"/>
      <c r="P293" s="137"/>
      <c r="S293" s="137"/>
      <c r="T293" s="137"/>
      <c r="U293" s="137"/>
    </row>
    <row r="294">
      <c r="O294" s="137"/>
      <c r="P294" s="137"/>
      <c r="S294" s="137"/>
      <c r="T294" s="137"/>
      <c r="U294" s="137"/>
    </row>
    <row r="295">
      <c r="O295" s="137"/>
      <c r="P295" s="137"/>
      <c r="S295" s="137"/>
      <c r="T295" s="137"/>
      <c r="U295" s="137"/>
    </row>
    <row r="296">
      <c r="O296" s="137"/>
      <c r="P296" s="137"/>
      <c r="S296" s="137"/>
      <c r="T296" s="137"/>
      <c r="U296" s="137"/>
    </row>
    <row r="297">
      <c r="O297" s="137"/>
      <c r="P297" s="137"/>
      <c r="S297" s="137"/>
      <c r="T297" s="137"/>
      <c r="U297" s="137"/>
    </row>
    <row r="298">
      <c r="O298" s="137"/>
      <c r="P298" s="137"/>
      <c r="S298" s="137"/>
      <c r="T298" s="137"/>
      <c r="U298" s="137"/>
    </row>
    <row r="299">
      <c r="O299" s="137"/>
      <c r="P299" s="137"/>
      <c r="S299" s="137"/>
      <c r="T299" s="137"/>
      <c r="U299" s="137"/>
    </row>
    <row r="300">
      <c r="O300" s="137"/>
      <c r="P300" s="137"/>
      <c r="S300" s="137"/>
      <c r="T300" s="137"/>
      <c r="U300" s="137"/>
    </row>
    <row r="301">
      <c r="O301" s="137"/>
      <c r="P301" s="137"/>
      <c r="S301" s="137"/>
      <c r="T301" s="137"/>
      <c r="U301" s="137"/>
    </row>
    <row r="302">
      <c r="O302" s="137"/>
      <c r="P302" s="137"/>
      <c r="S302" s="137"/>
      <c r="T302" s="137"/>
      <c r="U302" s="137"/>
    </row>
    <row r="303">
      <c r="O303" s="137"/>
      <c r="P303" s="137"/>
      <c r="S303" s="137"/>
      <c r="T303" s="137"/>
      <c r="U303" s="137"/>
    </row>
    <row r="304">
      <c r="O304" s="137"/>
      <c r="P304" s="137"/>
      <c r="S304" s="137"/>
      <c r="T304" s="137"/>
      <c r="U304" s="137"/>
    </row>
    <row r="305">
      <c r="O305" s="137"/>
      <c r="P305" s="137"/>
      <c r="S305" s="137"/>
      <c r="T305" s="137"/>
      <c r="U305" s="137"/>
    </row>
    <row r="306">
      <c r="O306" s="137"/>
      <c r="P306" s="137"/>
      <c r="S306" s="137"/>
      <c r="T306" s="137"/>
      <c r="U306" s="137"/>
    </row>
    <row r="307">
      <c r="O307" s="137"/>
      <c r="P307" s="137"/>
      <c r="S307" s="137"/>
      <c r="T307" s="137"/>
      <c r="U307" s="137"/>
    </row>
    <row r="308">
      <c r="O308" s="137"/>
      <c r="P308" s="137"/>
      <c r="S308" s="137"/>
      <c r="T308" s="137"/>
      <c r="U308" s="137"/>
    </row>
    <row r="309">
      <c r="O309" s="137"/>
      <c r="P309" s="137"/>
      <c r="S309" s="137"/>
      <c r="T309" s="137"/>
      <c r="U309" s="137"/>
    </row>
    <row r="310">
      <c r="O310" s="137"/>
      <c r="P310" s="137"/>
      <c r="S310" s="137"/>
      <c r="T310" s="137"/>
      <c r="U310" s="137"/>
    </row>
    <row r="311">
      <c r="O311" s="137"/>
      <c r="P311" s="137"/>
      <c r="S311" s="137"/>
      <c r="T311" s="137"/>
      <c r="U311" s="137"/>
    </row>
    <row r="312">
      <c r="O312" s="137"/>
      <c r="P312" s="137"/>
      <c r="S312" s="137"/>
      <c r="T312" s="137"/>
      <c r="U312" s="137"/>
    </row>
    <row r="313">
      <c r="O313" s="137"/>
      <c r="P313" s="137"/>
      <c r="S313" s="137"/>
      <c r="T313" s="137"/>
      <c r="U313" s="137"/>
    </row>
    <row r="314">
      <c r="O314" s="137"/>
      <c r="P314" s="137"/>
      <c r="S314" s="137"/>
      <c r="T314" s="137"/>
      <c r="U314" s="137"/>
    </row>
    <row r="315">
      <c r="O315" s="137"/>
      <c r="P315" s="137"/>
      <c r="S315" s="137"/>
      <c r="T315" s="137"/>
      <c r="U315" s="137"/>
    </row>
    <row r="316">
      <c r="O316" s="137"/>
      <c r="P316" s="137"/>
      <c r="S316" s="137"/>
      <c r="T316" s="137"/>
      <c r="U316" s="137"/>
    </row>
    <row r="317">
      <c r="O317" s="137"/>
      <c r="P317" s="137"/>
      <c r="S317" s="137"/>
      <c r="T317" s="137"/>
      <c r="U317" s="137"/>
    </row>
    <row r="318">
      <c r="O318" s="137"/>
      <c r="P318" s="137"/>
      <c r="S318" s="137"/>
      <c r="T318" s="137"/>
      <c r="U318" s="137"/>
    </row>
    <row r="319">
      <c r="O319" s="137"/>
      <c r="P319" s="137"/>
      <c r="S319" s="137"/>
      <c r="T319" s="137"/>
      <c r="U319" s="137"/>
    </row>
    <row r="320">
      <c r="O320" s="137"/>
      <c r="P320" s="137"/>
      <c r="S320" s="137"/>
      <c r="T320" s="137"/>
      <c r="U320" s="137"/>
    </row>
    <row r="321">
      <c r="O321" s="137"/>
      <c r="P321" s="137"/>
      <c r="S321" s="137"/>
      <c r="T321" s="137"/>
      <c r="U321" s="137"/>
    </row>
    <row r="322">
      <c r="O322" s="137"/>
      <c r="P322" s="137"/>
      <c r="S322" s="137"/>
      <c r="T322" s="137"/>
      <c r="U322" s="137"/>
    </row>
    <row r="323">
      <c r="O323" s="137"/>
      <c r="P323" s="137"/>
      <c r="S323" s="137"/>
      <c r="T323" s="137"/>
      <c r="U323" s="137"/>
    </row>
    <row r="324">
      <c r="O324" s="137"/>
      <c r="P324" s="137"/>
      <c r="S324" s="137"/>
      <c r="T324" s="137"/>
      <c r="U324" s="137"/>
    </row>
    <row r="325">
      <c r="O325" s="137"/>
      <c r="P325" s="137"/>
      <c r="S325" s="137"/>
      <c r="T325" s="137"/>
      <c r="U325" s="137"/>
    </row>
    <row r="326">
      <c r="O326" s="137"/>
      <c r="P326" s="137"/>
      <c r="S326" s="137"/>
      <c r="T326" s="137"/>
      <c r="U326" s="137"/>
    </row>
    <row r="327">
      <c r="O327" s="137"/>
      <c r="P327" s="137"/>
      <c r="S327" s="137"/>
      <c r="T327" s="137"/>
      <c r="U327" s="137"/>
    </row>
    <row r="328">
      <c r="O328" s="137"/>
      <c r="P328" s="137"/>
      <c r="S328" s="137"/>
      <c r="T328" s="137"/>
      <c r="U328" s="137"/>
    </row>
    <row r="329">
      <c r="O329" s="137"/>
      <c r="P329" s="137"/>
      <c r="S329" s="137"/>
      <c r="T329" s="137"/>
      <c r="U329" s="137"/>
    </row>
    <row r="330">
      <c r="O330" s="137"/>
      <c r="P330" s="137"/>
      <c r="S330" s="137"/>
      <c r="T330" s="137"/>
      <c r="U330" s="137"/>
    </row>
    <row r="331">
      <c r="O331" s="137"/>
      <c r="P331" s="137"/>
      <c r="S331" s="137"/>
      <c r="T331" s="137"/>
      <c r="U331" s="137"/>
    </row>
    <row r="332">
      <c r="O332" s="137"/>
      <c r="P332" s="137"/>
      <c r="S332" s="137"/>
      <c r="T332" s="137"/>
      <c r="U332" s="137"/>
    </row>
    <row r="333">
      <c r="O333" s="137"/>
      <c r="P333" s="137"/>
      <c r="S333" s="137"/>
      <c r="T333" s="137"/>
      <c r="U333" s="137"/>
    </row>
    <row r="334">
      <c r="O334" s="137"/>
      <c r="P334" s="137"/>
      <c r="S334" s="137"/>
      <c r="T334" s="137"/>
      <c r="U334" s="137"/>
    </row>
    <row r="335">
      <c r="O335" s="137"/>
      <c r="P335" s="137"/>
      <c r="S335" s="137"/>
      <c r="T335" s="137"/>
      <c r="U335" s="137"/>
    </row>
    <row r="336">
      <c r="O336" s="137"/>
      <c r="P336" s="137"/>
      <c r="S336" s="137"/>
      <c r="T336" s="137"/>
      <c r="U336" s="137"/>
    </row>
    <row r="337">
      <c r="O337" s="137"/>
      <c r="P337" s="137"/>
      <c r="S337" s="137"/>
      <c r="T337" s="137"/>
      <c r="U337" s="137"/>
    </row>
    <row r="338">
      <c r="O338" s="137"/>
      <c r="P338" s="137"/>
      <c r="S338" s="137"/>
      <c r="T338" s="137"/>
      <c r="U338" s="137"/>
    </row>
    <row r="339">
      <c r="O339" s="137"/>
      <c r="P339" s="137"/>
      <c r="S339" s="137"/>
      <c r="T339" s="137"/>
      <c r="U339" s="137"/>
    </row>
    <row r="340">
      <c r="O340" s="137"/>
      <c r="P340" s="137"/>
      <c r="S340" s="137"/>
      <c r="T340" s="137"/>
      <c r="U340" s="137"/>
    </row>
    <row r="341">
      <c r="O341" s="137"/>
      <c r="P341" s="137"/>
      <c r="S341" s="137"/>
      <c r="T341" s="137"/>
      <c r="U341" s="137"/>
    </row>
    <row r="342">
      <c r="O342" s="137"/>
      <c r="P342" s="137"/>
      <c r="S342" s="137"/>
      <c r="T342" s="137"/>
      <c r="U342" s="137"/>
    </row>
    <row r="343">
      <c r="O343" s="137"/>
      <c r="P343" s="137"/>
      <c r="S343" s="137"/>
      <c r="T343" s="137"/>
      <c r="U343" s="137"/>
    </row>
    <row r="344">
      <c r="O344" s="137"/>
      <c r="P344" s="137"/>
      <c r="S344" s="137"/>
      <c r="T344" s="137"/>
      <c r="U344" s="137"/>
    </row>
    <row r="345">
      <c r="O345" s="137"/>
      <c r="P345" s="137"/>
      <c r="S345" s="137"/>
      <c r="T345" s="137"/>
      <c r="U345" s="137"/>
    </row>
    <row r="346">
      <c r="O346" s="137"/>
      <c r="P346" s="137"/>
      <c r="S346" s="137"/>
      <c r="T346" s="137"/>
      <c r="U346" s="137"/>
    </row>
    <row r="347">
      <c r="O347" s="137"/>
      <c r="P347" s="137"/>
      <c r="S347" s="137"/>
      <c r="T347" s="137"/>
      <c r="U347" s="137"/>
    </row>
    <row r="348">
      <c r="O348" s="137"/>
      <c r="P348" s="137"/>
      <c r="S348" s="137"/>
      <c r="T348" s="137"/>
      <c r="U348" s="137"/>
    </row>
    <row r="349">
      <c r="O349" s="137"/>
      <c r="P349" s="137"/>
      <c r="S349" s="137"/>
      <c r="T349" s="137"/>
      <c r="U349" s="137"/>
    </row>
    <row r="350">
      <c r="O350" s="137"/>
      <c r="P350" s="137"/>
      <c r="S350" s="137"/>
      <c r="T350" s="137"/>
      <c r="U350" s="137"/>
    </row>
    <row r="351">
      <c r="O351" s="137"/>
      <c r="P351" s="137"/>
      <c r="S351" s="137"/>
      <c r="T351" s="137"/>
      <c r="U351" s="137"/>
    </row>
    <row r="352">
      <c r="O352" s="137"/>
      <c r="P352" s="137"/>
      <c r="S352" s="137"/>
      <c r="T352" s="137"/>
      <c r="U352" s="137"/>
    </row>
    <row r="353">
      <c r="O353" s="137"/>
      <c r="P353" s="137"/>
      <c r="S353" s="137"/>
      <c r="T353" s="137"/>
      <c r="U353" s="137"/>
    </row>
    <row r="354">
      <c r="O354" s="137"/>
      <c r="P354" s="137"/>
      <c r="S354" s="137"/>
      <c r="T354" s="137"/>
      <c r="U354" s="137"/>
    </row>
    <row r="355">
      <c r="O355" s="137"/>
      <c r="P355" s="137"/>
      <c r="S355" s="137"/>
      <c r="T355" s="137"/>
      <c r="U355" s="137"/>
    </row>
    <row r="356">
      <c r="O356" s="137"/>
      <c r="P356" s="137"/>
      <c r="S356" s="137"/>
      <c r="T356" s="137"/>
      <c r="U356" s="137"/>
    </row>
    <row r="357">
      <c r="O357" s="137"/>
      <c r="P357" s="137"/>
      <c r="S357" s="137"/>
      <c r="T357" s="137"/>
      <c r="U357" s="137"/>
    </row>
    <row r="358">
      <c r="O358" s="137"/>
      <c r="P358" s="137"/>
      <c r="S358" s="137"/>
      <c r="T358" s="137"/>
      <c r="U358" s="137"/>
    </row>
    <row r="359">
      <c r="O359" s="137"/>
      <c r="P359" s="137"/>
      <c r="S359" s="137"/>
      <c r="T359" s="137"/>
      <c r="U359" s="137"/>
    </row>
    <row r="360">
      <c r="O360" s="137"/>
      <c r="P360" s="137"/>
      <c r="S360" s="137"/>
      <c r="T360" s="137"/>
      <c r="U360" s="137"/>
    </row>
    <row r="361">
      <c r="O361" s="137"/>
      <c r="P361" s="137"/>
      <c r="S361" s="137"/>
      <c r="T361" s="137"/>
      <c r="U361" s="137"/>
    </row>
    <row r="362">
      <c r="O362" s="137"/>
      <c r="P362" s="137"/>
      <c r="S362" s="137"/>
      <c r="T362" s="137"/>
      <c r="U362" s="137"/>
    </row>
    <row r="363">
      <c r="O363" s="137"/>
      <c r="P363" s="137"/>
      <c r="S363" s="137"/>
      <c r="T363" s="137"/>
      <c r="U363" s="137"/>
    </row>
    <row r="364">
      <c r="O364" s="137"/>
      <c r="P364" s="137"/>
      <c r="S364" s="137"/>
      <c r="T364" s="137"/>
      <c r="U364" s="137"/>
    </row>
    <row r="365">
      <c r="O365" s="137"/>
      <c r="P365" s="137"/>
      <c r="S365" s="137"/>
      <c r="T365" s="137"/>
      <c r="U365" s="137"/>
    </row>
    <row r="366">
      <c r="O366" s="137"/>
      <c r="P366" s="137"/>
      <c r="S366" s="137"/>
      <c r="T366" s="137"/>
      <c r="U366" s="137"/>
    </row>
    <row r="367">
      <c r="O367" s="137"/>
      <c r="P367" s="137"/>
      <c r="S367" s="137"/>
      <c r="T367" s="137"/>
      <c r="U367" s="137"/>
    </row>
    <row r="368">
      <c r="O368" s="137"/>
      <c r="P368" s="137"/>
      <c r="S368" s="137"/>
      <c r="T368" s="137"/>
      <c r="U368" s="137"/>
    </row>
    <row r="369">
      <c r="O369" s="137"/>
      <c r="P369" s="137"/>
      <c r="S369" s="137"/>
      <c r="T369" s="137"/>
      <c r="U369" s="137"/>
    </row>
    <row r="370">
      <c r="O370" s="137"/>
      <c r="P370" s="137"/>
      <c r="S370" s="137"/>
      <c r="T370" s="137"/>
      <c r="U370" s="137"/>
    </row>
    <row r="371">
      <c r="O371" s="137"/>
      <c r="P371" s="137"/>
      <c r="S371" s="137"/>
      <c r="T371" s="137"/>
      <c r="U371" s="137"/>
    </row>
    <row r="372">
      <c r="O372" s="137"/>
      <c r="P372" s="137"/>
      <c r="S372" s="137"/>
      <c r="T372" s="137"/>
      <c r="U372" s="137"/>
    </row>
    <row r="373">
      <c r="O373" s="137"/>
      <c r="P373" s="137"/>
      <c r="S373" s="137"/>
      <c r="T373" s="137"/>
      <c r="U373" s="137"/>
    </row>
    <row r="374">
      <c r="O374" s="137"/>
      <c r="P374" s="137"/>
      <c r="S374" s="137"/>
      <c r="T374" s="137"/>
      <c r="U374" s="137"/>
    </row>
    <row r="375">
      <c r="O375" s="137"/>
      <c r="P375" s="137"/>
      <c r="S375" s="137"/>
      <c r="T375" s="137"/>
      <c r="U375" s="137"/>
    </row>
    <row r="376">
      <c r="O376" s="137"/>
      <c r="P376" s="137"/>
      <c r="S376" s="137"/>
      <c r="T376" s="137"/>
      <c r="U376" s="137"/>
    </row>
    <row r="377">
      <c r="O377" s="137"/>
      <c r="P377" s="137"/>
      <c r="S377" s="137"/>
      <c r="T377" s="137"/>
      <c r="U377" s="137"/>
    </row>
    <row r="378">
      <c r="O378" s="137"/>
      <c r="P378" s="137"/>
      <c r="S378" s="137"/>
      <c r="T378" s="137"/>
      <c r="U378" s="137"/>
    </row>
    <row r="379">
      <c r="O379" s="137"/>
      <c r="P379" s="137"/>
      <c r="S379" s="137"/>
      <c r="T379" s="137"/>
      <c r="U379" s="137"/>
    </row>
    <row r="380">
      <c r="O380" s="137"/>
      <c r="P380" s="137"/>
      <c r="S380" s="137"/>
      <c r="T380" s="137"/>
      <c r="U380" s="137"/>
    </row>
    <row r="381">
      <c r="O381" s="137"/>
      <c r="P381" s="137"/>
      <c r="S381" s="137"/>
      <c r="T381" s="137"/>
      <c r="U381" s="137"/>
    </row>
    <row r="382">
      <c r="O382" s="137"/>
      <c r="P382" s="137"/>
      <c r="S382" s="137"/>
      <c r="T382" s="137"/>
      <c r="U382" s="137"/>
    </row>
    <row r="383">
      <c r="O383" s="137"/>
      <c r="P383" s="137"/>
      <c r="S383" s="137"/>
      <c r="T383" s="137"/>
      <c r="U383" s="137"/>
    </row>
    <row r="384">
      <c r="O384" s="137"/>
      <c r="P384" s="137"/>
      <c r="S384" s="137"/>
      <c r="T384" s="137"/>
      <c r="U384" s="137"/>
    </row>
    <row r="385">
      <c r="O385" s="137"/>
      <c r="P385" s="137"/>
      <c r="S385" s="137"/>
      <c r="T385" s="137"/>
      <c r="U385" s="137"/>
    </row>
    <row r="386">
      <c r="O386" s="137"/>
      <c r="P386" s="137"/>
      <c r="S386" s="137"/>
      <c r="T386" s="137"/>
      <c r="U386" s="137"/>
    </row>
    <row r="387">
      <c r="O387" s="137"/>
      <c r="P387" s="137"/>
      <c r="S387" s="137"/>
      <c r="T387" s="137"/>
      <c r="U387" s="137"/>
    </row>
    <row r="388">
      <c r="O388" s="137"/>
      <c r="P388" s="137"/>
      <c r="S388" s="137"/>
      <c r="T388" s="137"/>
      <c r="U388" s="137"/>
    </row>
    <row r="389">
      <c r="O389" s="137"/>
      <c r="P389" s="137"/>
      <c r="S389" s="137"/>
      <c r="T389" s="137"/>
      <c r="U389" s="137"/>
    </row>
    <row r="390">
      <c r="O390" s="137"/>
      <c r="P390" s="137"/>
      <c r="S390" s="137"/>
      <c r="T390" s="137"/>
      <c r="U390" s="137"/>
    </row>
    <row r="391">
      <c r="O391" s="137"/>
      <c r="P391" s="137"/>
      <c r="S391" s="137"/>
      <c r="T391" s="137"/>
      <c r="U391" s="137"/>
    </row>
    <row r="392">
      <c r="O392" s="137"/>
      <c r="P392" s="137"/>
      <c r="S392" s="137"/>
      <c r="T392" s="137"/>
      <c r="U392" s="137"/>
    </row>
    <row r="393">
      <c r="O393" s="137"/>
      <c r="P393" s="137"/>
      <c r="S393" s="137"/>
      <c r="T393" s="137"/>
      <c r="U393" s="137"/>
    </row>
    <row r="394">
      <c r="O394" s="137"/>
      <c r="P394" s="137"/>
      <c r="S394" s="137"/>
      <c r="T394" s="137"/>
      <c r="U394" s="137"/>
    </row>
    <row r="395">
      <c r="O395" s="137"/>
      <c r="P395" s="137"/>
      <c r="S395" s="137"/>
      <c r="T395" s="137"/>
      <c r="U395" s="137"/>
    </row>
    <row r="396">
      <c r="O396" s="137"/>
      <c r="P396" s="137"/>
      <c r="S396" s="137"/>
      <c r="T396" s="137"/>
      <c r="U396" s="137"/>
    </row>
    <row r="397">
      <c r="O397" s="137"/>
      <c r="P397" s="137"/>
      <c r="S397" s="137"/>
      <c r="T397" s="137"/>
      <c r="U397" s="137"/>
    </row>
    <row r="398">
      <c r="O398" s="137"/>
      <c r="P398" s="137"/>
      <c r="S398" s="137"/>
      <c r="T398" s="137"/>
      <c r="U398" s="137"/>
    </row>
    <row r="399">
      <c r="O399" s="137"/>
      <c r="P399" s="137"/>
      <c r="S399" s="137"/>
      <c r="T399" s="137"/>
      <c r="U399" s="137"/>
    </row>
    <row r="400">
      <c r="O400" s="137"/>
      <c r="P400" s="137"/>
      <c r="S400" s="137"/>
      <c r="T400" s="137"/>
      <c r="U400" s="137"/>
    </row>
    <row r="401">
      <c r="O401" s="137"/>
      <c r="P401" s="137"/>
      <c r="S401" s="137"/>
      <c r="T401" s="137"/>
      <c r="U401" s="137"/>
    </row>
    <row r="402">
      <c r="O402" s="137"/>
      <c r="P402" s="137"/>
      <c r="S402" s="137"/>
      <c r="T402" s="137"/>
      <c r="U402" s="137"/>
    </row>
    <row r="403">
      <c r="O403" s="137"/>
      <c r="P403" s="137"/>
      <c r="S403" s="137"/>
      <c r="T403" s="137"/>
      <c r="U403" s="137"/>
    </row>
    <row r="404">
      <c r="O404" s="137"/>
      <c r="P404" s="137"/>
      <c r="S404" s="137"/>
      <c r="T404" s="137"/>
      <c r="U404" s="137"/>
    </row>
    <row r="405">
      <c r="O405" s="137"/>
      <c r="P405" s="137"/>
      <c r="S405" s="137"/>
      <c r="T405" s="137"/>
      <c r="U405" s="137"/>
    </row>
    <row r="406">
      <c r="O406" s="137"/>
      <c r="P406" s="137"/>
      <c r="S406" s="137"/>
      <c r="T406" s="137"/>
      <c r="U406" s="137"/>
    </row>
    <row r="407">
      <c r="O407" s="137"/>
      <c r="P407" s="137"/>
      <c r="S407" s="137"/>
      <c r="T407" s="137"/>
      <c r="U407" s="137"/>
    </row>
    <row r="408">
      <c r="O408" s="137"/>
      <c r="P408" s="137"/>
      <c r="S408" s="137"/>
      <c r="T408" s="137"/>
      <c r="U408" s="137"/>
    </row>
    <row r="409">
      <c r="O409" s="137"/>
      <c r="P409" s="137"/>
      <c r="S409" s="137"/>
      <c r="T409" s="137"/>
      <c r="U409" s="137"/>
    </row>
    <row r="410">
      <c r="O410" s="137"/>
      <c r="P410" s="137"/>
      <c r="S410" s="137"/>
      <c r="T410" s="137"/>
      <c r="U410" s="137"/>
    </row>
    <row r="411">
      <c r="O411" s="137"/>
      <c r="P411" s="137"/>
      <c r="S411" s="137"/>
      <c r="T411" s="137"/>
      <c r="U411" s="137"/>
    </row>
    <row r="412">
      <c r="O412" s="137"/>
      <c r="P412" s="137"/>
      <c r="S412" s="137"/>
      <c r="T412" s="137"/>
      <c r="U412" s="137"/>
    </row>
    <row r="413">
      <c r="O413" s="137"/>
      <c r="P413" s="137"/>
      <c r="S413" s="137"/>
      <c r="T413" s="137"/>
      <c r="U413" s="137"/>
    </row>
    <row r="414">
      <c r="O414" s="137"/>
      <c r="P414" s="137"/>
      <c r="S414" s="137"/>
      <c r="T414" s="137"/>
      <c r="U414" s="137"/>
    </row>
    <row r="415">
      <c r="O415" s="137"/>
      <c r="P415" s="137"/>
      <c r="S415" s="137"/>
      <c r="T415" s="137"/>
      <c r="U415" s="137"/>
    </row>
    <row r="416">
      <c r="O416" s="137"/>
      <c r="P416" s="137"/>
      <c r="S416" s="137"/>
      <c r="T416" s="137"/>
      <c r="U416" s="137"/>
    </row>
    <row r="417">
      <c r="O417" s="137"/>
      <c r="P417" s="137"/>
      <c r="S417" s="137"/>
      <c r="T417" s="137"/>
      <c r="U417" s="137"/>
    </row>
    <row r="418">
      <c r="O418" s="137"/>
      <c r="P418" s="137"/>
      <c r="S418" s="137"/>
      <c r="T418" s="137"/>
      <c r="U418" s="137"/>
    </row>
    <row r="419">
      <c r="O419" s="137"/>
      <c r="P419" s="137"/>
      <c r="S419" s="137"/>
      <c r="T419" s="137"/>
      <c r="U419" s="137"/>
    </row>
    <row r="420">
      <c r="O420" s="137"/>
      <c r="P420" s="137"/>
      <c r="S420" s="137"/>
      <c r="T420" s="137"/>
      <c r="U420" s="137"/>
    </row>
    <row r="421">
      <c r="O421" s="137"/>
      <c r="P421" s="137"/>
      <c r="S421" s="137"/>
      <c r="T421" s="137"/>
      <c r="U421" s="137"/>
    </row>
    <row r="422">
      <c r="O422" s="137"/>
      <c r="P422" s="137"/>
      <c r="S422" s="137"/>
      <c r="T422" s="137"/>
      <c r="U422" s="137"/>
    </row>
    <row r="423">
      <c r="O423" s="137"/>
      <c r="P423" s="137"/>
      <c r="S423" s="137"/>
      <c r="T423" s="137"/>
      <c r="U423" s="137"/>
    </row>
    <row r="424">
      <c r="O424" s="137"/>
      <c r="P424" s="137"/>
      <c r="S424" s="137"/>
      <c r="T424" s="137"/>
      <c r="U424" s="137"/>
    </row>
    <row r="425">
      <c r="O425" s="137"/>
      <c r="P425" s="137"/>
      <c r="S425" s="137"/>
      <c r="T425" s="137"/>
      <c r="U425" s="137"/>
    </row>
    <row r="426">
      <c r="O426" s="137"/>
      <c r="P426" s="137"/>
      <c r="S426" s="137"/>
      <c r="T426" s="137"/>
      <c r="U426" s="137"/>
    </row>
    <row r="427">
      <c r="O427" s="137"/>
      <c r="P427" s="137"/>
      <c r="S427" s="137"/>
      <c r="T427" s="137"/>
      <c r="U427" s="137"/>
    </row>
    <row r="428">
      <c r="O428" s="137"/>
      <c r="P428" s="137"/>
      <c r="S428" s="137"/>
      <c r="T428" s="137"/>
      <c r="U428" s="137"/>
    </row>
    <row r="429">
      <c r="O429" s="137"/>
      <c r="P429" s="137"/>
      <c r="S429" s="137"/>
      <c r="T429" s="137"/>
      <c r="U429" s="137"/>
    </row>
    <row r="430">
      <c r="O430" s="137"/>
      <c r="P430" s="137"/>
      <c r="S430" s="137"/>
      <c r="T430" s="137"/>
      <c r="U430" s="137"/>
    </row>
    <row r="431">
      <c r="O431" s="137"/>
      <c r="P431" s="137"/>
      <c r="S431" s="137"/>
      <c r="T431" s="137"/>
      <c r="U431" s="137"/>
    </row>
    <row r="432">
      <c r="O432" s="137"/>
      <c r="P432" s="137"/>
      <c r="S432" s="137"/>
      <c r="T432" s="137"/>
      <c r="U432" s="137"/>
    </row>
    <row r="433">
      <c r="O433" s="137"/>
      <c r="P433" s="137"/>
      <c r="S433" s="137"/>
      <c r="T433" s="137"/>
      <c r="U433" s="137"/>
    </row>
    <row r="434">
      <c r="O434" s="137"/>
      <c r="P434" s="137"/>
      <c r="S434" s="137"/>
      <c r="T434" s="137"/>
      <c r="U434" s="137"/>
    </row>
    <row r="435">
      <c r="O435" s="137"/>
      <c r="P435" s="137"/>
      <c r="S435" s="137"/>
      <c r="T435" s="137"/>
      <c r="U435" s="137"/>
    </row>
    <row r="436">
      <c r="O436" s="137"/>
      <c r="P436" s="137"/>
      <c r="S436" s="137"/>
      <c r="T436" s="137"/>
      <c r="U436" s="137"/>
    </row>
    <row r="437">
      <c r="O437" s="137"/>
      <c r="P437" s="137"/>
      <c r="S437" s="137"/>
      <c r="T437" s="137"/>
      <c r="U437" s="137"/>
    </row>
    <row r="438">
      <c r="O438" s="137"/>
      <c r="P438" s="137"/>
      <c r="S438" s="137"/>
      <c r="T438" s="137"/>
      <c r="U438" s="137"/>
    </row>
    <row r="439">
      <c r="O439" s="137"/>
      <c r="P439" s="137"/>
      <c r="S439" s="137"/>
      <c r="T439" s="137"/>
      <c r="U439" s="137"/>
    </row>
    <row r="440">
      <c r="O440" s="137"/>
      <c r="P440" s="137"/>
      <c r="S440" s="137"/>
      <c r="T440" s="137"/>
      <c r="U440" s="137"/>
    </row>
    <row r="441">
      <c r="O441" s="137"/>
      <c r="P441" s="137"/>
      <c r="S441" s="137"/>
      <c r="T441" s="137"/>
      <c r="U441" s="137"/>
    </row>
    <row r="442">
      <c r="O442" s="137"/>
      <c r="P442" s="137"/>
      <c r="S442" s="137"/>
      <c r="T442" s="137"/>
      <c r="U442" s="137"/>
    </row>
    <row r="443">
      <c r="O443" s="137"/>
      <c r="P443" s="137"/>
      <c r="S443" s="137"/>
      <c r="T443" s="137"/>
      <c r="U443" s="137"/>
    </row>
    <row r="444">
      <c r="O444" s="137"/>
      <c r="P444" s="137"/>
      <c r="S444" s="137"/>
      <c r="T444" s="137"/>
      <c r="U444" s="137"/>
    </row>
    <row r="445">
      <c r="O445" s="137"/>
      <c r="P445" s="137"/>
      <c r="S445" s="137"/>
      <c r="T445" s="137"/>
      <c r="U445" s="137"/>
    </row>
    <row r="446">
      <c r="O446" s="137"/>
      <c r="P446" s="137"/>
      <c r="S446" s="137"/>
      <c r="T446" s="137"/>
      <c r="U446" s="137"/>
    </row>
    <row r="447">
      <c r="O447" s="137"/>
      <c r="P447" s="137"/>
      <c r="S447" s="137"/>
      <c r="T447" s="137"/>
      <c r="U447" s="137"/>
    </row>
    <row r="448">
      <c r="O448" s="137"/>
      <c r="P448" s="137"/>
      <c r="S448" s="137"/>
      <c r="T448" s="137"/>
      <c r="U448" s="137"/>
    </row>
    <row r="449">
      <c r="O449" s="137"/>
      <c r="P449" s="137"/>
      <c r="S449" s="137"/>
      <c r="T449" s="137"/>
      <c r="U449" s="137"/>
    </row>
    <row r="450">
      <c r="O450" s="137"/>
      <c r="P450" s="137"/>
      <c r="S450" s="137"/>
      <c r="T450" s="137"/>
      <c r="U450" s="137"/>
    </row>
    <row r="451">
      <c r="O451" s="137"/>
      <c r="P451" s="137"/>
      <c r="S451" s="137"/>
      <c r="T451" s="137"/>
      <c r="U451" s="137"/>
    </row>
    <row r="452">
      <c r="O452" s="137"/>
      <c r="P452" s="137"/>
      <c r="S452" s="137"/>
      <c r="T452" s="137"/>
      <c r="U452" s="137"/>
    </row>
    <row r="453">
      <c r="O453" s="137"/>
      <c r="P453" s="137"/>
      <c r="S453" s="137"/>
      <c r="T453" s="137"/>
      <c r="U453" s="137"/>
    </row>
    <row r="454">
      <c r="O454" s="137"/>
      <c r="P454" s="137"/>
      <c r="S454" s="137"/>
      <c r="T454" s="137"/>
      <c r="U454" s="137"/>
    </row>
    <row r="455">
      <c r="O455" s="137"/>
      <c r="P455" s="137"/>
      <c r="S455" s="137"/>
      <c r="T455" s="137"/>
      <c r="U455" s="137"/>
    </row>
    <row r="456">
      <c r="O456" s="137"/>
      <c r="P456" s="137"/>
      <c r="S456" s="137"/>
      <c r="T456" s="137"/>
      <c r="U456" s="137"/>
    </row>
    <row r="457">
      <c r="O457" s="137"/>
      <c r="P457" s="137"/>
      <c r="S457" s="137"/>
      <c r="T457" s="137"/>
      <c r="U457" s="137"/>
    </row>
    <row r="458">
      <c r="O458" s="137"/>
      <c r="P458" s="137"/>
      <c r="S458" s="137"/>
      <c r="T458" s="137"/>
      <c r="U458" s="137"/>
    </row>
    <row r="459">
      <c r="O459" s="137"/>
      <c r="P459" s="137"/>
      <c r="S459" s="137"/>
      <c r="T459" s="137"/>
      <c r="U459" s="137"/>
    </row>
    <row r="460">
      <c r="O460" s="137"/>
      <c r="P460" s="137"/>
      <c r="S460" s="137"/>
      <c r="T460" s="137"/>
      <c r="U460" s="137"/>
    </row>
    <row r="461">
      <c r="O461" s="137"/>
      <c r="P461" s="137"/>
      <c r="S461" s="137"/>
      <c r="T461" s="137"/>
      <c r="U461" s="137"/>
    </row>
    <row r="462">
      <c r="O462" s="137"/>
      <c r="P462" s="137"/>
      <c r="S462" s="137"/>
      <c r="T462" s="137"/>
      <c r="U462" s="137"/>
    </row>
    <row r="463">
      <c r="O463" s="137"/>
      <c r="P463" s="137"/>
      <c r="S463" s="137"/>
      <c r="T463" s="137"/>
      <c r="U463" s="137"/>
    </row>
    <row r="464">
      <c r="O464" s="137"/>
      <c r="P464" s="137"/>
      <c r="S464" s="137"/>
      <c r="T464" s="137"/>
      <c r="U464" s="137"/>
    </row>
    <row r="465">
      <c r="O465" s="137"/>
      <c r="P465" s="137"/>
      <c r="S465" s="137"/>
      <c r="T465" s="137"/>
      <c r="U465" s="137"/>
    </row>
    <row r="466">
      <c r="O466" s="137"/>
      <c r="P466" s="137"/>
      <c r="S466" s="137"/>
      <c r="T466" s="137"/>
      <c r="U466" s="137"/>
    </row>
    <row r="467">
      <c r="O467" s="137"/>
      <c r="P467" s="137"/>
      <c r="S467" s="137"/>
      <c r="T467" s="137"/>
      <c r="U467" s="137"/>
    </row>
    <row r="468">
      <c r="O468" s="137"/>
      <c r="P468" s="137"/>
      <c r="S468" s="137"/>
      <c r="T468" s="137"/>
      <c r="U468" s="137"/>
    </row>
    <row r="469">
      <c r="O469" s="137"/>
      <c r="P469" s="137"/>
      <c r="S469" s="137"/>
      <c r="T469" s="137"/>
      <c r="U469" s="137"/>
    </row>
    <row r="470">
      <c r="O470" s="137"/>
      <c r="P470" s="137"/>
      <c r="S470" s="137"/>
      <c r="T470" s="137"/>
      <c r="U470" s="137"/>
    </row>
    <row r="471">
      <c r="O471" s="137"/>
      <c r="P471" s="137"/>
      <c r="S471" s="137"/>
      <c r="T471" s="137"/>
      <c r="U471" s="137"/>
    </row>
    <row r="472">
      <c r="O472" s="137"/>
      <c r="P472" s="137"/>
      <c r="S472" s="137"/>
      <c r="T472" s="137"/>
      <c r="U472" s="137"/>
    </row>
    <row r="473">
      <c r="O473" s="137"/>
      <c r="P473" s="137"/>
      <c r="S473" s="137"/>
      <c r="T473" s="137"/>
      <c r="U473" s="137"/>
    </row>
    <row r="474">
      <c r="O474" s="137"/>
      <c r="P474" s="137"/>
      <c r="S474" s="137"/>
      <c r="T474" s="137"/>
      <c r="U474" s="137"/>
    </row>
    <row r="475">
      <c r="O475" s="137"/>
      <c r="P475" s="137"/>
      <c r="S475" s="137"/>
      <c r="T475" s="137"/>
      <c r="U475" s="137"/>
    </row>
    <row r="476">
      <c r="O476" s="137"/>
      <c r="P476" s="137"/>
      <c r="S476" s="137"/>
      <c r="T476" s="137"/>
      <c r="U476" s="137"/>
    </row>
    <row r="477">
      <c r="O477" s="137"/>
      <c r="P477" s="137"/>
      <c r="S477" s="137"/>
      <c r="T477" s="137"/>
      <c r="U477" s="137"/>
    </row>
    <row r="478">
      <c r="O478" s="137"/>
      <c r="P478" s="137"/>
      <c r="S478" s="137"/>
      <c r="T478" s="137"/>
      <c r="U478" s="137"/>
    </row>
    <row r="479">
      <c r="O479" s="137"/>
      <c r="P479" s="137"/>
      <c r="S479" s="137"/>
      <c r="T479" s="137"/>
      <c r="U479" s="137"/>
    </row>
    <row r="480">
      <c r="O480" s="137"/>
      <c r="P480" s="137"/>
      <c r="S480" s="137"/>
      <c r="T480" s="137"/>
      <c r="U480" s="137"/>
    </row>
    <row r="481">
      <c r="O481" s="137"/>
      <c r="P481" s="137"/>
      <c r="S481" s="137"/>
      <c r="T481" s="137"/>
      <c r="U481" s="137"/>
    </row>
    <row r="482">
      <c r="O482" s="137"/>
      <c r="P482" s="137"/>
      <c r="S482" s="137"/>
      <c r="T482" s="137"/>
      <c r="U482" s="137"/>
    </row>
    <row r="483">
      <c r="O483" s="137"/>
      <c r="P483" s="137"/>
      <c r="S483" s="137"/>
      <c r="T483" s="137"/>
      <c r="U483" s="137"/>
    </row>
    <row r="484">
      <c r="O484" s="137"/>
      <c r="P484" s="137"/>
      <c r="S484" s="137"/>
      <c r="T484" s="137"/>
      <c r="U484" s="137"/>
    </row>
    <row r="485">
      <c r="O485" s="137"/>
      <c r="P485" s="137"/>
      <c r="S485" s="137"/>
      <c r="T485" s="137"/>
      <c r="U485" s="137"/>
    </row>
    <row r="486">
      <c r="O486" s="137"/>
      <c r="P486" s="137"/>
      <c r="S486" s="137"/>
      <c r="T486" s="137"/>
      <c r="U486" s="137"/>
    </row>
    <row r="487">
      <c r="O487" s="137"/>
      <c r="P487" s="137"/>
      <c r="S487" s="137"/>
      <c r="T487" s="137"/>
      <c r="U487" s="137"/>
    </row>
    <row r="488">
      <c r="O488" s="137"/>
      <c r="P488" s="137"/>
      <c r="S488" s="137"/>
      <c r="T488" s="137"/>
      <c r="U488" s="137"/>
    </row>
    <row r="489">
      <c r="O489" s="137"/>
      <c r="P489" s="137"/>
      <c r="S489" s="137"/>
      <c r="T489" s="137"/>
      <c r="U489" s="137"/>
    </row>
    <row r="490">
      <c r="O490" s="137"/>
      <c r="P490" s="137"/>
      <c r="S490" s="137"/>
      <c r="T490" s="137"/>
      <c r="U490" s="137"/>
    </row>
    <row r="491">
      <c r="O491" s="137"/>
      <c r="P491" s="137"/>
      <c r="S491" s="137"/>
      <c r="T491" s="137"/>
      <c r="U491" s="137"/>
    </row>
    <row r="492">
      <c r="O492" s="137"/>
      <c r="P492" s="137"/>
      <c r="S492" s="137"/>
      <c r="T492" s="137"/>
      <c r="U492" s="137"/>
    </row>
    <row r="493">
      <c r="O493" s="137"/>
      <c r="P493" s="137"/>
      <c r="S493" s="137"/>
      <c r="T493" s="137"/>
      <c r="U493" s="137"/>
    </row>
    <row r="494">
      <c r="O494" s="137"/>
      <c r="P494" s="137"/>
      <c r="S494" s="137"/>
      <c r="T494" s="137"/>
      <c r="U494" s="137"/>
    </row>
    <row r="495">
      <c r="O495" s="137"/>
      <c r="P495" s="137"/>
      <c r="S495" s="137"/>
      <c r="T495" s="137"/>
      <c r="U495" s="137"/>
    </row>
    <row r="496">
      <c r="O496" s="137"/>
      <c r="P496" s="137"/>
      <c r="S496" s="137"/>
      <c r="T496" s="137"/>
      <c r="U496" s="137"/>
    </row>
    <row r="497">
      <c r="O497" s="137"/>
      <c r="P497" s="137"/>
      <c r="S497" s="137"/>
      <c r="T497" s="137"/>
      <c r="U497" s="137"/>
    </row>
    <row r="498">
      <c r="O498" s="137"/>
      <c r="P498" s="137"/>
      <c r="S498" s="137"/>
      <c r="T498" s="137"/>
      <c r="U498" s="137"/>
    </row>
    <row r="499">
      <c r="O499" s="137"/>
      <c r="P499" s="137"/>
      <c r="S499" s="137"/>
      <c r="T499" s="137"/>
      <c r="U499" s="137"/>
    </row>
    <row r="500">
      <c r="O500" s="137"/>
      <c r="P500" s="137"/>
      <c r="S500" s="137"/>
      <c r="T500" s="137"/>
      <c r="U500" s="137"/>
    </row>
    <row r="501">
      <c r="O501" s="137"/>
      <c r="P501" s="137"/>
      <c r="S501" s="137"/>
      <c r="T501" s="137"/>
      <c r="U501" s="137"/>
    </row>
    <row r="502">
      <c r="O502" s="137"/>
      <c r="P502" s="137"/>
      <c r="S502" s="137"/>
      <c r="T502" s="137"/>
      <c r="U502" s="137"/>
    </row>
    <row r="503">
      <c r="O503" s="137"/>
      <c r="P503" s="137"/>
      <c r="S503" s="137"/>
      <c r="T503" s="137"/>
      <c r="U503" s="137"/>
    </row>
    <row r="504">
      <c r="O504" s="137"/>
      <c r="P504" s="137"/>
      <c r="S504" s="137"/>
      <c r="T504" s="137"/>
      <c r="U504" s="137"/>
    </row>
    <row r="505">
      <c r="O505" s="137"/>
      <c r="P505" s="137"/>
      <c r="S505" s="137"/>
      <c r="T505" s="137"/>
      <c r="U505" s="137"/>
    </row>
    <row r="506">
      <c r="O506" s="137"/>
      <c r="P506" s="137"/>
      <c r="S506" s="137"/>
      <c r="T506" s="137"/>
      <c r="U506" s="137"/>
    </row>
    <row r="507">
      <c r="O507" s="137"/>
      <c r="P507" s="137"/>
      <c r="S507" s="137"/>
      <c r="T507" s="137"/>
      <c r="U507" s="137"/>
    </row>
    <row r="508">
      <c r="O508" s="137"/>
      <c r="P508" s="137"/>
      <c r="S508" s="137"/>
      <c r="T508" s="137"/>
      <c r="U508" s="137"/>
    </row>
    <row r="509">
      <c r="O509" s="137"/>
      <c r="P509" s="137"/>
      <c r="S509" s="137"/>
      <c r="T509" s="137"/>
      <c r="U509" s="137"/>
    </row>
    <row r="510">
      <c r="O510" s="137"/>
      <c r="P510" s="137"/>
      <c r="S510" s="137"/>
      <c r="T510" s="137"/>
      <c r="U510" s="137"/>
    </row>
    <row r="511">
      <c r="O511" s="137"/>
      <c r="P511" s="137"/>
      <c r="S511" s="137"/>
      <c r="T511" s="137"/>
      <c r="U511" s="137"/>
    </row>
    <row r="512">
      <c r="O512" s="137"/>
      <c r="P512" s="137"/>
      <c r="S512" s="137"/>
      <c r="T512" s="137"/>
      <c r="U512" s="137"/>
    </row>
    <row r="513">
      <c r="O513" s="137"/>
      <c r="P513" s="137"/>
      <c r="S513" s="137"/>
      <c r="T513" s="137"/>
      <c r="U513" s="137"/>
    </row>
    <row r="514">
      <c r="O514" s="137"/>
      <c r="P514" s="137"/>
      <c r="S514" s="137"/>
      <c r="T514" s="137"/>
      <c r="U514" s="137"/>
    </row>
    <row r="515">
      <c r="O515" s="137"/>
      <c r="P515" s="137"/>
      <c r="S515" s="137"/>
      <c r="T515" s="137"/>
      <c r="U515" s="137"/>
    </row>
    <row r="516">
      <c r="O516" s="137"/>
      <c r="P516" s="137"/>
      <c r="S516" s="137"/>
      <c r="T516" s="137"/>
      <c r="U516" s="137"/>
    </row>
    <row r="517">
      <c r="O517" s="137"/>
      <c r="P517" s="137"/>
      <c r="S517" s="137"/>
      <c r="T517" s="137"/>
      <c r="U517" s="137"/>
    </row>
    <row r="518">
      <c r="O518" s="137"/>
      <c r="P518" s="137"/>
      <c r="S518" s="137"/>
      <c r="T518" s="137"/>
      <c r="U518" s="137"/>
    </row>
    <row r="519">
      <c r="O519" s="137"/>
      <c r="P519" s="137"/>
      <c r="S519" s="137"/>
      <c r="T519" s="137"/>
      <c r="U519" s="137"/>
    </row>
    <row r="520">
      <c r="O520" s="137"/>
      <c r="P520" s="137"/>
      <c r="S520" s="137"/>
      <c r="T520" s="137"/>
      <c r="U520" s="137"/>
    </row>
    <row r="521">
      <c r="O521" s="137"/>
      <c r="P521" s="137"/>
      <c r="S521" s="137"/>
      <c r="T521" s="137"/>
      <c r="U521" s="137"/>
    </row>
    <row r="522">
      <c r="O522" s="137"/>
      <c r="P522" s="137"/>
      <c r="S522" s="137"/>
      <c r="T522" s="137"/>
      <c r="U522" s="137"/>
    </row>
    <row r="523">
      <c r="O523" s="137"/>
      <c r="P523" s="137"/>
      <c r="S523" s="137"/>
      <c r="T523" s="137"/>
      <c r="U523" s="137"/>
    </row>
    <row r="524">
      <c r="O524" s="137"/>
      <c r="P524" s="137"/>
      <c r="S524" s="137"/>
      <c r="T524" s="137"/>
      <c r="U524" s="137"/>
    </row>
    <row r="525">
      <c r="O525" s="137"/>
      <c r="P525" s="137"/>
      <c r="S525" s="137"/>
      <c r="T525" s="137"/>
      <c r="U525" s="137"/>
    </row>
    <row r="526">
      <c r="O526" s="137"/>
      <c r="P526" s="137"/>
      <c r="S526" s="137"/>
      <c r="T526" s="137"/>
      <c r="U526" s="137"/>
    </row>
    <row r="527">
      <c r="O527" s="137"/>
      <c r="P527" s="137"/>
      <c r="S527" s="137"/>
      <c r="T527" s="137"/>
      <c r="U527" s="137"/>
    </row>
    <row r="528">
      <c r="O528" s="137"/>
      <c r="P528" s="137"/>
      <c r="S528" s="137"/>
      <c r="T528" s="137"/>
      <c r="U528" s="137"/>
    </row>
    <row r="529">
      <c r="O529" s="137"/>
      <c r="P529" s="137"/>
      <c r="S529" s="137"/>
      <c r="T529" s="137"/>
      <c r="U529" s="137"/>
    </row>
    <row r="530">
      <c r="O530" s="137"/>
      <c r="P530" s="137"/>
      <c r="S530" s="137"/>
      <c r="T530" s="137"/>
      <c r="U530" s="137"/>
    </row>
    <row r="531">
      <c r="O531" s="137"/>
      <c r="P531" s="137"/>
      <c r="S531" s="137"/>
      <c r="T531" s="137"/>
      <c r="U531" s="137"/>
    </row>
    <row r="532">
      <c r="O532" s="137"/>
      <c r="P532" s="137"/>
      <c r="S532" s="137"/>
      <c r="T532" s="137"/>
      <c r="U532" s="137"/>
    </row>
    <row r="533">
      <c r="O533" s="137"/>
      <c r="P533" s="137"/>
      <c r="S533" s="137"/>
      <c r="T533" s="137"/>
      <c r="U533" s="137"/>
    </row>
    <row r="534">
      <c r="O534" s="137"/>
      <c r="P534" s="137"/>
      <c r="S534" s="137"/>
      <c r="T534" s="137"/>
      <c r="U534" s="137"/>
    </row>
    <row r="535">
      <c r="O535" s="137"/>
      <c r="P535" s="137"/>
      <c r="S535" s="137"/>
      <c r="T535" s="137"/>
      <c r="U535" s="137"/>
    </row>
    <row r="536">
      <c r="O536" s="137"/>
      <c r="P536" s="137"/>
      <c r="S536" s="137"/>
      <c r="T536" s="137"/>
      <c r="U536" s="137"/>
    </row>
    <row r="537">
      <c r="O537" s="137"/>
      <c r="P537" s="137"/>
      <c r="S537" s="137"/>
      <c r="T537" s="137"/>
      <c r="U537" s="137"/>
    </row>
    <row r="538">
      <c r="O538" s="137"/>
      <c r="P538" s="137"/>
      <c r="S538" s="137"/>
      <c r="T538" s="137"/>
      <c r="U538" s="137"/>
    </row>
    <row r="539">
      <c r="O539" s="137"/>
      <c r="P539" s="137"/>
      <c r="S539" s="137"/>
      <c r="T539" s="137"/>
      <c r="U539" s="137"/>
    </row>
    <row r="540">
      <c r="O540" s="137"/>
      <c r="P540" s="137"/>
      <c r="S540" s="137"/>
      <c r="T540" s="137"/>
      <c r="U540" s="137"/>
    </row>
    <row r="541">
      <c r="O541" s="137"/>
      <c r="P541" s="137"/>
      <c r="S541" s="137"/>
      <c r="T541" s="137"/>
      <c r="U541" s="137"/>
    </row>
    <row r="542">
      <c r="O542" s="137"/>
      <c r="P542" s="137"/>
      <c r="S542" s="137"/>
      <c r="T542" s="137"/>
      <c r="U542" s="137"/>
    </row>
    <row r="543">
      <c r="O543" s="137"/>
      <c r="P543" s="137"/>
      <c r="S543" s="137"/>
      <c r="T543" s="137"/>
      <c r="U543" s="137"/>
    </row>
    <row r="544">
      <c r="O544" s="137"/>
      <c r="P544" s="137"/>
      <c r="S544" s="137"/>
      <c r="T544" s="137"/>
      <c r="U544" s="137"/>
    </row>
    <row r="545">
      <c r="O545" s="137"/>
      <c r="P545" s="137"/>
      <c r="S545" s="137"/>
      <c r="T545" s="137"/>
      <c r="U545" s="137"/>
    </row>
    <row r="546">
      <c r="O546" s="137"/>
      <c r="P546" s="137"/>
      <c r="S546" s="137"/>
      <c r="T546" s="137"/>
      <c r="U546" s="137"/>
    </row>
    <row r="547">
      <c r="O547" s="137"/>
      <c r="P547" s="137"/>
      <c r="S547" s="137"/>
      <c r="T547" s="137"/>
      <c r="U547" s="137"/>
    </row>
    <row r="548">
      <c r="O548" s="137"/>
      <c r="P548" s="137"/>
      <c r="S548" s="137"/>
      <c r="T548" s="137"/>
      <c r="U548" s="137"/>
    </row>
    <row r="549">
      <c r="O549" s="137"/>
      <c r="P549" s="137"/>
      <c r="S549" s="137"/>
      <c r="T549" s="137"/>
      <c r="U549" s="137"/>
    </row>
    <row r="550">
      <c r="O550" s="137"/>
      <c r="P550" s="137"/>
      <c r="S550" s="137"/>
      <c r="T550" s="137"/>
      <c r="U550" s="137"/>
    </row>
    <row r="551">
      <c r="O551" s="137"/>
      <c r="P551" s="137"/>
      <c r="S551" s="137"/>
      <c r="T551" s="137"/>
      <c r="U551" s="137"/>
    </row>
    <row r="552">
      <c r="O552" s="137"/>
      <c r="P552" s="137"/>
      <c r="S552" s="137"/>
      <c r="T552" s="137"/>
      <c r="U552" s="137"/>
    </row>
    <row r="553">
      <c r="O553" s="137"/>
      <c r="P553" s="137"/>
      <c r="S553" s="137"/>
      <c r="T553" s="137"/>
      <c r="U553" s="137"/>
    </row>
    <row r="554">
      <c r="O554" s="137"/>
      <c r="P554" s="137"/>
      <c r="S554" s="137"/>
      <c r="T554" s="137"/>
      <c r="U554" s="137"/>
    </row>
    <row r="555">
      <c r="O555" s="137"/>
      <c r="P555" s="137"/>
      <c r="S555" s="137"/>
      <c r="T555" s="137"/>
      <c r="U555" s="137"/>
    </row>
    <row r="556">
      <c r="O556" s="137"/>
      <c r="P556" s="137"/>
      <c r="S556" s="137"/>
      <c r="T556" s="137"/>
      <c r="U556" s="137"/>
    </row>
    <row r="557">
      <c r="O557" s="137"/>
      <c r="P557" s="137"/>
      <c r="S557" s="137"/>
      <c r="T557" s="137"/>
      <c r="U557" s="137"/>
    </row>
    <row r="558">
      <c r="O558" s="137"/>
      <c r="P558" s="137"/>
      <c r="S558" s="137"/>
      <c r="T558" s="137"/>
      <c r="U558" s="137"/>
    </row>
    <row r="559">
      <c r="O559" s="137"/>
      <c r="P559" s="137"/>
      <c r="S559" s="137"/>
      <c r="T559" s="137"/>
      <c r="U559" s="137"/>
    </row>
    <row r="560">
      <c r="O560" s="137"/>
      <c r="P560" s="137"/>
      <c r="S560" s="137"/>
      <c r="T560" s="137"/>
      <c r="U560" s="137"/>
    </row>
    <row r="561">
      <c r="O561" s="137"/>
      <c r="P561" s="137"/>
      <c r="S561" s="137"/>
      <c r="T561" s="137"/>
      <c r="U561" s="137"/>
    </row>
    <row r="562">
      <c r="O562" s="137"/>
      <c r="P562" s="137"/>
      <c r="S562" s="137"/>
      <c r="T562" s="137"/>
      <c r="U562" s="137"/>
    </row>
    <row r="563">
      <c r="O563" s="137"/>
      <c r="P563" s="137"/>
      <c r="S563" s="137"/>
      <c r="T563" s="137"/>
      <c r="U563" s="137"/>
    </row>
    <row r="564">
      <c r="O564" s="137"/>
      <c r="P564" s="137"/>
      <c r="S564" s="137"/>
      <c r="T564" s="137"/>
      <c r="U564" s="137"/>
    </row>
    <row r="565">
      <c r="O565" s="137"/>
      <c r="P565" s="137"/>
      <c r="S565" s="137"/>
      <c r="T565" s="137"/>
      <c r="U565" s="137"/>
    </row>
    <row r="566">
      <c r="O566" s="137"/>
      <c r="P566" s="137"/>
      <c r="S566" s="137"/>
      <c r="T566" s="137"/>
      <c r="U566" s="137"/>
    </row>
    <row r="567">
      <c r="O567" s="137"/>
      <c r="P567" s="137"/>
      <c r="S567" s="137"/>
      <c r="T567" s="137"/>
      <c r="U567" s="137"/>
    </row>
    <row r="568">
      <c r="O568" s="137"/>
      <c r="P568" s="137"/>
      <c r="S568" s="137"/>
      <c r="T568" s="137"/>
      <c r="U568" s="137"/>
    </row>
    <row r="569">
      <c r="O569" s="137"/>
      <c r="P569" s="137"/>
      <c r="S569" s="137"/>
      <c r="T569" s="137"/>
      <c r="U569" s="137"/>
    </row>
    <row r="570">
      <c r="O570" s="137"/>
      <c r="P570" s="137"/>
      <c r="S570" s="137"/>
      <c r="T570" s="137"/>
      <c r="U570" s="137"/>
    </row>
    <row r="571">
      <c r="O571" s="137"/>
      <c r="P571" s="137"/>
      <c r="S571" s="137"/>
      <c r="T571" s="137"/>
      <c r="U571" s="137"/>
    </row>
    <row r="572">
      <c r="O572" s="137"/>
      <c r="P572" s="137"/>
      <c r="S572" s="137"/>
      <c r="T572" s="137"/>
      <c r="U572" s="137"/>
    </row>
    <row r="573">
      <c r="O573" s="137"/>
      <c r="P573" s="137"/>
      <c r="S573" s="137"/>
      <c r="T573" s="137"/>
      <c r="U573" s="137"/>
    </row>
    <row r="574">
      <c r="O574" s="137"/>
      <c r="P574" s="137"/>
      <c r="S574" s="137"/>
      <c r="T574" s="137"/>
      <c r="U574" s="137"/>
    </row>
    <row r="575">
      <c r="O575" s="137"/>
      <c r="P575" s="137"/>
      <c r="S575" s="137"/>
      <c r="T575" s="137"/>
      <c r="U575" s="137"/>
    </row>
    <row r="576">
      <c r="O576" s="137"/>
      <c r="P576" s="137"/>
      <c r="S576" s="137"/>
      <c r="T576" s="137"/>
      <c r="U576" s="137"/>
    </row>
    <row r="577">
      <c r="O577" s="137"/>
      <c r="P577" s="137"/>
      <c r="S577" s="137"/>
      <c r="T577" s="137"/>
      <c r="U577" s="137"/>
    </row>
    <row r="578">
      <c r="O578" s="137"/>
      <c r="P578" s="137"/>
      <c r="S578" s="137"/>
      <c r="T578" s="137"/>
      <c r="U578" s="137"/>
    </row>
    <row r="579">
      <c r="O579" s="137"/>
      <c r="P579" s="137"/>
      <c r="S579" s="137"/>
      <c r="T579" s="137"/>
      <c r="U579" s="137"/>
    </row>
    <row r="580">
      <c r="O580" s="137"/>
      <c r="P580" s="137"/>
      <c r="S580" s="137"/>
      <c r="T580" s="137"/>
      <c r="U580" s="137"/>
    </row>
    <row r="581">
      <c r="O581" s="137"/>
      <c r="P581" s="137"/>
      <c r="S581" s="137"/>
      <c r="T581" s="137"/>
      <c r="U581" s="137"/>
    </row>
    <row r="582">
      <c r="O582" s="137"/>
      <c r="P582" s="137"/>
      <c r="S582" s="137"/>
      <c r="T582" s="137"/>
      <c r="U582" s="137"/>
    </row>
    <row r="583">
      <c r="O583" s="137"/>
      <c r="P583" s="137"/>
      <c r="S583" s="137"/>
      <c r="T583" s="137"/>
      <c r="U583" s="137"/>
    </row>
    <row r="584">
      <c r="O584" s="137"/>
      <c r="P584" s="137"/>
      <c r="S584" s="137"/>
      <c r="T584" s="137"/>
      <c r="U584" s="137"/>
    </row>
    <row r="585">
      <c r="O585" s="137"/>
      <c r="P585" s="137"/>
      <c r="S585" s="137"/>
      <c r="T585" s="137"/>
      <c r="U585" s="137"/>
    </row>
    <row r="586">
      <c r="O586" s="137"/>
      <c r="P586" s="137"/>
      <c r="S586" s="137"/>
      <c r="T586" s="137"/>
      <c r="U586" s="137"/>
    </row>
    <row r="587">
      <c r="O587" s="137"/>
      <c r="P587" s="137"/>
      <c r="S587" s="137"/>
      <c r="T587" s="137"/>
      <c r="U587" s="137"/>
    </row>
    <row r="588">
      <c r="O588" s="137"/>
      <c r="P588" s="137"/>
      <c r="S588" s="137"/>
      <c r="T588" s="137"/>
      <c r="U588" s="137"/>
    </row>
    <row r="589">
      <c r="O589" s="137"/>
      <c r="P589" s="137"/>
      <c r="S589" s="137"/>
      <c r="T589" s="137"/>
      <c r="U589" s="137"/>
    </row>
    <row r="590">
      <c r="O590" s="137"/>
      <c r="P590" s="137"/>
      <c r="S590" s="137"/>
      <c r="T590" s="137"/>
      <c r="U590" s="137"/>
    </row>
    <row r="591">
      <c r="O591" s="137"/>
      <c r="P591" s="137"/>
      <c r="S591" s="137"/>
      <c r="T591" s="137"/>
      <c r="U591" s="137"/>
    </row>
    <row r="592">
      <c r="O592" s="137"/>
      <c r="P592" s="137"/>
      <c r="S592" s="137"/>
      <c r="T592" s="137"/>
      <c r="U592" s="137"/>
    </row>
    <row r="593">
      <c r="O593" s="137"/>
      <c r="P593" s="137"/>
      <c r="S593" s="137"/>
      <c r="T593" s="137"/>
      <c r="U593" s="137"/>
    </row>
    <row r="594">
      <c r="O594" s="137"/>
      <c r="P594" s="137"/>
      <c r="S594" s="137"/>
      <c r="T594" s="137"/>
      <c r="U594" s="137"/>
    </row>
    <row r="595">
      <c r="O595" s="137"/>
      <c r="P595" s="137"/>
      <c r="S595" s="137"/>
      <c r="T595" s="137"/>
      <c r="U595" s="137"/>
    </row>
    <row r="596">
      <c r="O596" s="137"/>
      <c r="P596" s="137"/>
      <c r="S596" s="137"/>
      <c r="T596" s="137"/>
      <c r="U596" s="137"/>
    </row>
    <row r="597">
      <c r="O597" s="137"/>
      <c r="P597" s="137"/>
      <c r="S597" s="137"/>
      <c r="T597" s="137"/>
      <c r="U597" s="137"/>
    </row>
    <row r="598">
      <c r="O598" s="137"/>
      <c r="P598" s="137"/>
      <c r="S598" s="137"/>
      <c r="T598" s="137"/>
      <c r="U598" s="137"/>
    </row>
    <row r="599">
      <c r="O599" s="137"/>
      <c r="P599" s="137"/>
      <c r="S599" s="137"/>
      <c r="T599" s="137"/>
      <c r="U599" s="137"/>
    </row>
    <row r="600">
      <c r="O600" s="137"/>
      <c r="P600" s="137"/>
      <c r="S600" s="137"/>
      <c r="T600" s="137"/>
      <c r="U600" s="137"/>
    </row>
    <row r="601">
      <c r="O601" s="137"/>
      <c r="P601" s="137"/>
      <c r="S601" s="137"/>
      <c r="T601" s="137"/>
      <c r="U601" s="137"/>
    </row>
    <row r="602">
      <c r="O602" s="137"/>
      <c r="P602" s="137"/>
      <c r="S602" s="137"/>
      <c r="T602" s="137"/>
      <c r="U602" s="137"/>
    </row>
    <row r="603">
      <c r="O603" s="137"/>
      <c r="P603" s="137"/>
      <c r="S603" s="137"/>
      <c r="T603" s="137"/>
      <c r="U603" s="137"/>
    </row>
    <row r="604">
      <c r="O604" s="137"/>
      <c r="P604" s="137"/>
      <c r="S604" s="137"/>
      <c r="T604" s="137"/>
      <c r="U604" s="137"/>
    </row>
    <row r="605">
      <c r="O605" s="137"/>
      <c r="P605" s="137"/>
      <c r="S605" s="137"/>
      <c r="T605" s="137"/>
      <c r="U605" s="137"/>
    </row>
    <row r="606">
      <c r="O606" s="137"/>
      <c r="P606" s="137"/>
      <c r="S606" s="137"/>
      <c r="T606" s="137"/>
      <c r="U606" s="137"/>
    </row>
    <row r="607">
      <c r="O607" s="137"/>
      <c r="P607" s="137"/>
      <c r="S607" s="137"/>
      <c r="T607" s="137"/>
      <c r="U607" s="137"/>
    </row>
    <row r="608">
      <c r="O608" s="137"/>
      <c r="P608" s="137"/>
      <c r="S608" s="137"/>
      <c r="T608" s="137"/>
      <c r="U608" s="137"/>
    </row>
    <row r="609">
      <c r="O609" s="137"/>
      <c r="P609" s="137"/>
      <c r="S609" s="137"/>
      <c r="T609" s="137"/>
      <c r="U609" s="137"/>
    </row>
    <row r="610">
      <c r="O610" s="137"/>
      <c r="P610" s="137"/>
      <c r="S610" s="137"/>
      <c r="T610" s="137"/>
      <c r="U610" s="137"/>
    </row>
    <row r="611">
      <c r="O611" s="137"/>
      <c r="P611" s="137"/>
      <c r="S611" s="137"/>
      <c r="T611" s="137"/>
      <c r="U611" s="137"/>
    </row>
    <row r="612">
      <c r="O612" s="137"/>
      <c r="P612" s="137"/>
      <c r="S612" s="137"/>
      <c r="T612" s="137"/>
      <c r="U612" s="137"/>
    </row>
    <row r="613">
      <c r="O613" s="137"/>
      <c r="P613" s="137"/>
      <c r="S613" s="137"/>
      <c r="T613" s="137"/>
      <c r="U613" s="137"/>
    </row>
    <row r="614">
      <c r="O614" s="137"/>
      <c r="P614" s="137"/>
      <c r="S614" s="137"/>
      <c r="T614" s="137"/>
      <c r="U614" s="137"/>
    </row>
    <row r="615">
      <c r="O615" s="137"/>
      <c r="P615" s="137"/>
      <c r="S615" s="137"/>
      <c r="T615" s="137"/>
      <c r="U615" s="137"/>
    </row>
    <row r="616">
      <c r="O616" s="137"/>
      <c r="P616" s="137"/>
      <c r="S616" s="137"/>
      <c r="T616" s="137"/>
      <c r="U616" s="137"/>
    </row>
    <row r="617">
      <c r="O617" s="137"/>
      <c r="P617" s="137"/>
      <c r="S617" s="137"/>
      <c r="T617" s="137"/>
      <c r="U617" s="137"/>
    </row>
    <row r="618">
      <c r="O618" s="137"/>
      <c r="P618" s="137"/>
      <c r="S618" s="137"/>
      <c r="T618" s="137"/>
      <c r="U618" s="137"/>
    </row>
    <row r="619">
      <c r="O619" s="137"/>
      <c r="P619" s="137"/>
      <c r="S619" s="137"/>
      <c r="T619" s="137"/>
      <c r="U619" s="137"/>
    </row>
    <row r="620">
      <c r="O620" s="137"/>
      <c r="P620" s="137"/>
      <c r="S620" s="137"/>
      <c r="T620" s="137"/>
      <c r="U620" s="137"/>
    </row>
    <row r="621">
      <c r="O621" s="137"/>
      <c r="P621" s="137"/>
      <c r="S621" s="137"/>
      <c r="T621" s="137"/>
      <c r="U621" s="137"/>
    </row>
    <row r="622">
      <c r="O622" s="137"/>
      <c r="P622" s="137"/>
      <c r="S622" s="137"/>
      <c r="T622" s="137"/>
      <c r="U622" s="137"/>
    </row>
    <row r="623">
      <c r="O623" s="137"/>
      <c r="P623" s="137"/>
      <c r="S623" s="137"/>
      <c r="T623" s="137"/>
      <c r="U623" s="137"/>
    </row>
    <row r="624">
      <c r="O624" s="137"/>
      <c r="P624" s="137"/>
      <c r="S624" s="137"/>
      <c r="T624" s="137"/>
      <c r="U624" s="137"/>
    </row>
    <row r="625">
      <c r="O625" s="137"/>
      <c r="P625" s="137"/>
      <c r="S625" s="137"/>
      <c r="T625" s="137"/>
      <c r="U625" s="137"/>
    </row>
    <row r="626">
      <c r="O626" s="137"/>
      <c r="P626" s="137"/>
      <c r="S626" s="137"/>
      <c r="T626" s="137"/>
      <c r="U626" s="137"/>
    </row>
    <row r="627">
      <c r="O627" s="137"/>
      <c r="P627" s="137"/>
      <c r="S627" s="137"/>
      <c r="T627" s="137"/>
      <c r="U627" s="137"/>
    </row>
    <row r="628">
      <c r="O628" s="137"/>
      <c r="P628" s="137"/>
      <c r="S628" s="137"/>
      <c r="T628" s="137"/>
      <c r="U628" s="137"/>
    </row>
    <row r="629">
      <c r="O629" s="137"/>
      <c r="P629" s="137"/>
      <c r="S629" s="137"/>
      <c r="T629" s="137"/>
      <c r="U629" s="137"/>
    </row>
    <row r="630">
      <c r="O630" s="137"/>
      <c r="P630" s="137"/>
      <c r="S630" s="137"/>
      <c r="T630" s="137"/>
      <c r="U630" s="137"/>
    </row>
    <row r="631">
      <c r="O631" s="137"/>
      <c r="P631" s="137"/>
      <c r="S631" s="137"/>
      <c r="T631" s="137"/>
      <c r="U631" s="137"/>
    </row>
    <row r="632">
      <c r="O632" s="137"/>
      <c r="P632" s="137"/>
      <c r="S632" s="137"/>
      <c r="T632" s="137"/>
      <c r="U632" s="137"/>
    </row>
    <row r="633">
      <c r="O633" s="137"/>
      <c r="P633" s="137"/>
      <c r="S633" s="137"/>
      <c r="T633" s="137"/>
      <c r="U633" s="137"/>
    </row>
    <row r="634">
      <c r="O634" s="137"/>
      <c r="P634" s="137"/>
      <c r="S634" s="137"/>
      <c r="T634" s="137"/>
      <c r="U634" s="137"/>
    </row>
    <row r="635">
      <c r="O635" s="137"/>
      <c r="P635" s="137"/>
      <c r="S635" s="137"/>
      <c r="T635" s="137"/>
      <c r="U635" s="137"/>
    </row>
    <row r="636">
      <c r="O636" s="137"/>
      <c r="P636" s="137"/>
      <c r="S636" s="137"/>
      <c r="T636" s="137"/>
      <c r="U636" s="137"/>
    </row>
    <row r="637">
      <c r="O637" s="137"/>
      <c r="P637" s="137"/>
      <c r="S637" s="137"/>
      <c r="T637" s="137"/>
      <c r="U637" s="137"/>
    </row>
    <row r="638">
      <c r="O638" s="137"/>
      <c r="P638" s="137"/>
      <c r="S638" s="137"/>
      <c r="T638" s="137"/>
      <c r="U638" s="137"/>
    </row>
    <row r="639">
      <c r="O639" s="137"/>
      <c r="P639" s="137"/>
      <c r="S639" s="137"/>
      <c r="T639" s="137"/>
      <c r="U639" s="137"/>
    </row>
    <row r="640">
      <c r="O640" s="137"/>
      <c r="P640" s="137"/>
      <c r="S640" s="137"/>
      <c r="T640" s="137"/>
      <c r="U640" s="137"/>
    </row>
    <row r="641">
      <c r="O641" s="137"/>
      <c r="P641" s="137"/>
      <c r="S641" s="137"/>
      <c r="T641" s="137"/>
      <c r="U641" s="137"/>
    </row>
    <row r="642">
      <c r="O642" s="137"/>
      <c r="P642" s="137"/>
      <c r="S642" s="137"/>
      <c r="T642" s="137"/>
      <c r="U642" s="137"/>
    </row>
    <row r="643">
      <c r="O643" s="137"/>
      <c r="P643" s="137"/>
      <c r="S643" s="137"/>
      <c r="T643" s="137"/>
      <c r="U643" s="137"/>
    </row>
    <row r="644">
      <c r="O644" s="137"/>
      <c r="P644" s="137"/>
      <c r="S644" s="137"/>
      <c r="T644" s="137"/>
      <c r="U644" s="137"/>
    </row>
    <row r="645">
      <c r="O645" s="137"/>
      <c r="P645" s="137"/>
      <c r="S645" s="137"/>
      <c r="T645" s="137"/>
      <c r="U645" s="137"/>
    </row>
    <row r="646">
      <c r="O646" s="137"/>
      <c r="P646" s="137"/>
      <c r="S646" s="137"/>
      <c r="T646" s="137"/>
      <c r="U646" s="137"/>
    </row>
    <row r="647">
      <c r="O647" s="137"/>
      <c r="P647" s="137"/>
      <c r="S647" s="137"/>
      <c r="T647" s="137"/>
      <c r="U647" s="137"/>
    </row>
    <row r="648">
      <c r="O648" s="137"/>
      <c r="P648" s="137"/>
      <c r="S648" s="137"/>
      <c r="T648" s="137"/>
      <c r="U648" s="137"/>
    </row>
    <row r="649">
      <c r="O649" s="137"/>
      <c r="P649" s="137"/>
      <c r="S649" s="137"/>
      <c r="T649" s="137"/>
      <c r="U649" s="137"/>
    </row>
    <row r="650">
      <c r="O650" s="137"/>
      <c r="P650" s="137"/>
      <c r="S650" s="137"/>
      <c r="T650" s="137"/>
      <c r="U650" s="137"/>
    </row>
    <row r="651">
      <c r="O651" s="137"/>
      <c r="P651" s="137"/>
      <c r="S651" s="137"/>
      <c r="T651" s="137"/>
      <c r="U651" s="137"/>
    </row>
    <row r="652">
      <c r="O652" s="137"/>
      <c r="P652" s="137"/>
      <c r="S652" s="137"/>
      <c r="T652" s="137"/>
      <c r="U652" s="137"/>
    </row>
    <row r="653">
      <c r="O653" s="137"/>
      <c r="P653" s="137"/>
      <c r="S653" s="137"/>
      <c r="T653" s="137"/>
      <c r="U653" s="137"/>
    </row>
    <row r="654">
      <c r="O654" s="137"/>
      <c r="P654" s="137"/>
      <c r="S654" s="137"/>
      <c r="T654" s="137"/>
      <c r="U654" s="137"/>
    </row>
    <row r="655">
      <c r="O655" s="137"/>
      <c r="P655" s="137"/>
      <c r="S655" s="137"/>
      <c r="T655" s="137"/>
      <c r="U655" s="137"/>
    </row>
    <row r="656">
      <c r="O656" s="137"/>
      <c r="P656" s="137"/>
      <c r="S656" s="137"/>
      <c r="T656" s="137"/>
      <c r="U656" s="137"/>
    </row>
    <row r="657">
      <c r="O657" s="137"/>
      <c r="P657" s="137"/>
      <c r="S657" s="137"/>
      <c r="T657" s="137"/>
      <c r="U657" s="137"/>
    </row>
    <row r="658">
      <c r="O658" s="137"/>
      <c r="P658" s="137"/>
      <c r="S658" s="137"/>
      <c r="T658" s="137"/>
      <c r="U658" s="137"/>
    </row>
    <row r="659">
      <c r="O659" s="137"/>
      <c r="P659" s="137"/>
      <c r="S659" s="137"/>
      <c r="T659" s="137"/>
      <c r="U659" s="137"/>
    </row>
    <row r="660">
      <c r="O660" s="137"/>
      <c r="P660" s="137"/>
      <c r="S660" s="137"/>
      <c r="T660" s="137"/>
      <c r="U660" s="137"/>
    </row>
    <row r="661">
      <c r="O661" s="137"/>
      <c r="P661" s="137"/>
      <c r="S661" s="137"/>
      <c r="T661" s="137"/>
      <c r="U661" s="137"/>
    </row>
    <row r="662">
      <c r="O662" s="137"/>
      <c r="P662" s="137"/>
      <c r="S662" s="137"/>
      <c r="T662" s="137"/>
      <c r="U662" s="137"/>
    </row>
    <row r="663">
      <c r="O663" s="137"/>
      <c r="P663" s="137"/>
      <c r="S663" s="137"/>
      <c r="T663" s="137"/>
      <c r="U663" s="137"/>
    </row>
    <row r="664">
      <c r="O664" s="137"/>
      <c r="P664" s="137"/>
      <c r="S664" s="137"/>
      <c r="T664" s="137"/>
      <c r="U664" s="137"/>
    </row>
    <row r="665">
      <c r="O665" s="137"/>
      <c r="P665" s="137"/>
      <c r="S665" s="137"/>
      <c r="T665" s="137"/>
      <c r="U665" s="137"/>
    </row>
    <row r="666">
      <c r="O666" s="137"/>
      <c r="P666" s="137"/>
      <c r="S666" s="137"/>
      <c r="T666" s="137"/>
      <c r="U666" s="137"/>
    </row>
    <row r="667">
      <c r="O667" s="137"/>
      <c r="P667" s="137"/>
      <c r="S667" s="137"/>
      <c r="T667" s="137"/>
      <c r="U667" s="137"/>
    </row>
    <row r="668">
      <c r="O668" s="137"/>
      <c r="P668" s="137"/>
      <c r="S668" s="137"/>
      <c r="T668" s="137"/>
      <c r="U668" s="137"/>
    </row>
    <row r="669">
      <c r="O669" s="137"/>
      <c r="P669" s="137"/>
      <c r="S669" s="137"/>
      <c r="T669" s="137"/>
      <c r="U669" s="137"/>
    </row>
    <row r="670">
      <c r="O670" s="137"/>
      <c r="P670" s="137"/>
      <c r="S670" s="137"/>
      <c r="T670" s="137"/>
      <c r="U670" s="137"/>
    </row>
    <row r="671">
      <c r="O671" s="137"/>
      <c r="P671" s="137"/>
      <c r="S671" s="137"/>
      <c r="T671" s="137"/>
      <c r="U671" s="137"/>
    </row>
    <row r="672">
      <c r="O672" s="137"/>
      <c r="P672" s="137"/>
      <c r="S672" s="137"/>
      <c r="T672" s="137"/>
      <c r="U672" s="137"/>
    </row>
    <row r="673">
      <c r="O673" s="137"/>
      <c r="P673" s="137"/>
      <c r="S673" s="137"/>
      <c r="T673" s="137"/>
      <c r="U673" s="137"/>
    </row>
    <row r="674">
      <c r="O674" s="137"/>
      <c r="P674" s="137"/>
      <c r="S674" s="137"/>
      <c r="T674" s="137"/>
      <c r="U674" s="137"/>
    </row>
    <row r="675">
      <c r="O675" s="137"/>
      <c r="P675" s="137"/>
      <c r="S675" s="137"/>
      <c r="T675" s="137"/>
      <c r="U675" s="137"/>
    </row>
    <row r="676">
      <c r="O676" s="137"/>
      <c r="P676" s="137"/>
      <c r="S676" s="137"/>
      <c r="T676" s="137"/>
      <c r="U676" s="137"/>
    </row>
    <row r="677">
      <c r="O677" s="137"/>
      <c r="P677" s="137"/>
      <c r="S677" s="137"/>
      <c r="T677" s="137"/>
      <c r="U677" s="137"/>
    </row>
    <row r="678">
      <c r="O678" s="137"/>
      <c r="P678" s="137"/>
      <c r="S678" s="137"/>
      <c r="T678" s="137"/>
      <c r="U678" s="137"/>
    </row>
    <row r="679">
      <c r="O679" s="137"/>
      <c r="P679" s="137"/>
      <c r="S679" s="137"/>
      <c r="T679" s="137"/>
      <c r="U679" s="137"/>
    </row>
    <row r="680">
      <c r="O680" s="137"/>
      <c r="P680" s="137"/>
      <c r="S680" s="137"/>
      <c r="T680" s="137"/>
      <c r="U680" s="137"/>
    </row>
    <row r="681">
      <c r="O681" s="137"/>
      <c r="P681" s="137"/>
      <c r="S681" s="137"/>
      <c r="T681" s="137"/>
      <c r="U681" s="137"/>
    </row>
    <row r="682">
      <c r="O682" s="137"/>
      <c r="P682" s="137"/>
      <c r="S682" s="137"/>
      <c r="T682" s="137"/>
      <c r="U682" s="137"/>
    </row>
    <row r="683">
      <c r="O683" s="137"/>
      <c r="P683" s="137"/>
      <c r="S683" s="137"/>
      <c r="T683" s="137"/>
      <c r="U683" s="137"/>
    </row>
    <row r="684">
      <c r="O684" s="137"/>
      <c r="P684" s="137"/>
      <c r="S684" s="137"/>
      <c r="T684" s="137"/>
      <c r="U684" s="137"/>
    </row>
    <row r="685">
      <c r="O685" s="137"/>
      <c r="P685" s="137"/>
      <c r="S685" s="137"/>
      <c r="T685" s="137"/>
      <c r="U685" s="137"/>
    </row>
    <row r="686">
      <c r="O686" s="137"/>
      <c r="P686" s="137"/>
      <c r="S686" s="137"/>
      <c r="T686" s="137"/>
      <c r="U686" s="137"/>
    </row>
    <row r="687">
      <c r="O687" s="137"/>
      <c r="P687" s="137"/>
      <c r="S687" s="137"/>
      <c r="T687" s="137"/>
      <c r="U687" s="137"/>
    </row>
    <row r="688">
      <c r="O688" s="137"/>
      <c r="P688" s="137"/>
      <c r="S688" s="137"/>
      <c r="T688" s="137"/>
      <c r="U688" s="137"/>
    </row>
    <row r="689">
      <c r="O689" s="137"/>
      <c r="P689" s="137"/>
      <c r="S689" s="137"/>
      <c r="T689" s="137"/>
      <c r="U689" s="137"/>
    </row>
    <row r="690">
      <c r="O690" s="137"/>
      <c r="P690" s="137"/>
      <c r="S690" s="137"/>
      <c r="T690" s="137"/>
      <c r="U690" s="137"/>
    </row>
    <row r="691">
      <c r="O691" s="137"/>
      <c r="P691" s="137"/>
      <c r="S691" s="137"/>
      <c r="T691" s="137"/>
      <c r="U691" s="137"/>
    </row>
    <row r="692">
      <c r="O692" s="137"/>
      <c r="P692" s="137"/>
      <c r="S692" s="137"/>
      <c r="T692" s="137"/>
      <c r="U692" s="137"/>
    </row>
    <row r="693">
      <c r="O693" s="137"/>
      <c r="P693" s="137"/>
      <c r="S693" s="137"/>
      <c r="T693" s="137"/>
      <c r="U693" s="137"/>
    </row>
    <row r="694">
      <c r="O694" s="137"/>
      <c r="P694" s="137"/>
      <c r="S694" s="137"/>
      <c r="T694" s="137"/>
      <c r="U694" s="137"/>
    </row>
    <row r="695">
      <c r="O695" s="137"/>
      <c r="P695" s="137"/>
      <c r="S695" s="137"/>
      <c r="T695" s="137"/>
      <c r="U695" s="137"/>
    </row>
    <row r="696">
      <c r="O696" s="137"/>
      <c r="P696" s="137"/>
      <c r="S696" s="137"/>
      <c r="T696" s="137"/>
      <c r="U696" s="137"/>
    </row>
    <row r="697">
      <c r="O697" s="137"/>
      <c r="P697" s="137"/>
      <c r="S697" s="137"/>
      <c r="T697" s="137"/>
      <c r="U697" s="137"/>
    </row>
    <row r="698">
      <c r="O698" s="137"/>
      <c r="P698" s="137"/>
      <c r="S698" s="137"/>
      <c r="T698" s="137"/>
      <c r="U698" s="137"/>
    </row>
    <row r="699">
      <c r="O699" s="137"/>
      <c r="P699" s="137"/>
      <c r="S699" s="137"/>
      <c r="T699" s="137"/>
      <c r="U699" s="137"/>
    </row>
    <row r="700">
      <c r="O700" s="137"/>
      <c r="P700" s="137"/>
      <c r="S700" s="137"/>
      <c r="T700" s="137"/>
      <c r="U700" s="137"/>
    </row>
    <row r="701">
      <c r="O701" s="137"/>
      <c r="P701" s="137"/>
      <c r="S701" s="137"/>
      <c r="T701" s="137"/>
      <c r="U701" s="137"/>
    </row>
    <row r="702">
      <c r="O702" s="137"/>
      <c r="P702" s="137"/>
      <c r="S702" s="137"/>
      <c r="T702" s="137"/>
      <c r="U702" s="137"/>
    </row>
    <row r="703">
      <c r="O703" s="137"/>
      <c r="P703" s="137"/>
      <c r="S703" s="137"/>
      <c r="T703" s="137"/>
      <c r="U703" s="137"/>
    </row>
    <row r="704">
      <c r="O704" s="137"/>
      <c r="P704" s="137"/>
      <c r="S704" s="137"/>
      <c r="T704" s="137"/>
      <c r="U704" s="137"/>
    </row>
    <row r="705">
      <c r="O705" s="137"/>
      <c r="P705" s="137"/>
      <c r="S705" s="137"/>
      <c r="T705" s="137"/>
      <c r="U705" s="137"/>
    </row>
    <row r="706">
      <c r="O706" s="137"/>
      <c r="P706" s="137"/>
      <c r="S706" s="137"/>
      <c r="T706" s="137"/>
      <c r="U706" s="137"/>
    </row>
    <row r="707">
      <c r="O707" s="137"/>
      <c r="P707" s="137"/>
      <c r="S707" s="137"/>
      <c r="T707" s="137"/>
      <c r="U707" s="137"/>
    </row>
    <row r="708">
      <c r="O708" s="137"/>
      <c r="P708" s="137"/>
      <c r="S708" s="137"/>
      <c r="T708" s="137"/>
      <c r="U708" s="137"/>
    </row>
    <row r="709">
      <c r="O709" s="137"/>
      <c r="P709" s="137"/>
      <c r="S709" s="137"/>
      <c r="T709" s="137"/>
      <c r="U709" s="137"/>
    </row>
    <row r="710">
      <c r="O710" s="137"/>
      <c r="P710" s="137"/>
      <c r="S710" s="137"/>
      <c r="T710" s="137"/>
      <c r="U710" s="137"/>
    </row>
    <row r="711">
      <c r="O711" s="137"/>
      <c r="P711" s="137"/>
      <c r="S711" s="137"/>
      <c r="T711" s="137"/>
      <c r="U711" s="137"/>
    </row>
    <row r="712">
      <c r="O712" s="137"/>
      <c r="P712" s="137"/>
      <c r="S712" s="137"/>
      <c r="T712" s="137"/>
      <c r="U712" s="137"/>
    </row>
    <row r="713">
      <c r="O713" s="137"/>
      <c r="P713" s="137"/>
      <c r="S713" s="137"/>
      <c r="T713" s="137"/>
      <c r="U713" s="137"/>
    </row>
    <row r="714">
      <c r="O714" s="137"/>
      <c r="P714" s="137"/>
      <c r="S714" s="137"/>
      <c r="T714" s="137"/>
      <c r="U714" s="137"/>
    </row>
    <row r="715">
      <c r="O715" s="137"/>
      <c r="P715" s="137"/>
      <c r="S715" s="137"/>
      <c r="T715" s="137"/>
      <c r="U715" s="137"/>
    </row>
    <row r="716">
      <c r="O716" s="137"/>
      <c r="P716" s="137"/>
      <c r="S716" s="137"/>
      <c r="T716" s="137"/>
      <c r="U716" s="137"/>
    </row>
    <row r="717">
      <c r="O717" s="137"/>
      <c r="P717" s="137"/>
      <c r="S717" s="137"/>
      <c r="T717" s="137"/>
      <c r="U717" s="137"/>
    </row>
    <row r="718">
      <c r="O718" s="137"/>
      <c r="P718" s="137"/>
      <c r="S718" s="137"/>
      <c r="T718" s="137"/>
      <c r="U718" s="137"/>
    </row>
    <row r="719">
      <c r="O719" s="137"/>
      <c r="P719" s="137"/>
      <c r="S719" s="137"/>
      <c r="T719" s="137"/>
      <c r="U719" s="137"/>
    </row>
    <row r="720">
      <c r="O720" s="137"/>
      <c r="P720" s="137"/>
      <c r="S720" s="137"/>
      <c r="T720" s="137"/>
      <c r="U720" s="137"/>
    </row>
    <row r="721">
      <c r="O721" s="137"/>
      <c r="P721" s="137"/>
      <c r="S721" s="137"/>
      <c r="T721" s="137"/>
      <c r="U721" s="137"/>
    </row>
    <row r="722">
      <c r="O722" s="137"/>
      <c r="P722" s="137"/>
      <c r="S722" s="137"/>
      <c r="T722" s="137"/>
      <c r="U722" s="137"/>
    </row>
    <row r="723">
      <c r="O723" s="137"/>
      <c r="P723" s="137"/>
      <c r="S723" s="137"/>
      <c r="T723" s="137"/>
      <c r="U723" s="137"/>
    </row>
    <row r="724">
      <c r="O724" s="137"/>
      <c r="P724" s="137"/>
      <c r="S724" s="137"/>
      <c r="T724" s="137"/>
      <c r="U724" s="137"/>
    </row>
    <row r="725">
      <c r="O725" s="137"/>
      <c r="P725" s="137"/>
      <c r="S725" s="137"/>
      <c r="T725" s="137"/>
      <c r="U725" s="137"/>
    </row>
    <row r="726">
      <c r="O726" s="137"/>
      <c r="P726" s="137"/>
      <c r="S726" s="137"/>
      <c r="T726" s="137"/>
      <c r="U726" s="137"/>
    </row>
    <row r="727">
      <c r="O727" s="137"/>
      <c r="P727" s="137"/>
      <c r="S727" s="137"/>
      <c r="T727" s="137"/>
      <c r="U727" s="137"/>
    </row>
    <row r="728">
      <c r="O728" s="137"/>
      <c r="P728" s="137"/>
      <c r="S728" s="137"/>
      <c r="T728" s="137"/>
      <c r="U728" s="137"/>
    </row>
    <row r="729">
      <c r="O729" s="137"/>
      <c r="P729" s="137"/>
      <c r="S729" s="137"/>
      <c r="T729" s="137"/>
      <c r="U729" s="137"/>
    </row>
    <row r="730">
      <c r="O730" s="137"/>
      <c r="P730" s="137"/>
      <c r="S730" s="137"/>
      <c r="T730" s="137"/>
      <c r="U730" s="137"/>
    </row>
    <row r="731">
      <c r="O731" s="137"/>
      <c r="P731" s="137"/>
      <c r="S731" s="137"/>
      <c r="T731" s="137"/>
      <c r="U731" s="137"/>
    </row>
    <row r="732">
      <c r="O732" s="137"/>
      <c r="P732" s="137"/>
      <c r="S732" s="137"/>
      <c r="T732" s="137"/>
      <c r="U732" s="137"/>
    </row>
    <row r="733">
      <c r="O733" s="137"/>
      <c r="P733" s="137"/>
      <c r="S733" s="137"/>
      <c r="T733" s="137"/>
      <c r="U733" s="137"/>
    </row>
    <row r="734">
      <c r="O734" s="137"/>
      <c r="P734" s="137"/>
      <c r="S734" s="137"/>
      <c r="T734" s="137"/>
      <c r="U734" s="137"/>
    </row>
    <row r="735">
      <c r="O735" s="137"/>
      <c r="P735" s="137"/>
      <c r="S735" s="137"/>
      <c r="T735" s="137"/>
      <c r="U735" s="137"/>
    </row>
    <row r="736">
      <c r="O736" s="137"/>
      <c r="P736" s="137"/>
      <c r="S736" s="137"/>
      <c r="T736" s="137"/>
      <c r="U736" s="137"/>
    </row>
    <row r="737">
      <c r="O737" s="137"/>
      <c r="P737" s="137"/>
      <c r="S737" s="137"/>
      <c r="T737" s="137"/>
      <c r="U737" s="137"/>
    </row>
    <row r="738">
      <c r="O738" s="137"/>
      <c r="P738" s="137"/>
      <c r="S738" s="137"/>
      <c r="T738" s="137"/>
      <c r="U738" s="137"/>
    </row>
    <row r="739">
      <c r="O739" s="137"/>
      <c r="P739" s="137"/>
      <c r="S739" s="137"/>
      <c r="T739" s="137"/>
      <c r="U739" s="137"/>
    </row>
    <row r="740">
      <c r="O740" s="137"/>
      <c r="P740" s="137"/>
      <c r="S740" s="137"/>
      <c r="T740" s="137"/>
      <c r="U740" s="137"/>
    </row>
    <row r="741">
      <c r="O741" s="137"/>
      <c r="P741" s="137"/>
      <c r="S741" s="137"/>
      <c r="T741" s="137"/>
      <c r="U741" s="137"/>
    </row>
    <row r="742">
      <c r="O742" s="137"/>
      <c r="P742" s="137"/>
      <c r="S742" s="137"/>
      <c r="T742" s="137"/>
      <c r="U742" s="137"/>
    </row>
    <row r="743">
      <c r="O743" s="137"/>
      <c r="P743" s="137"/>
      <c r="S743" s="137"/>
      <c r="T743" s="137"/>
      <c r="U743" s="137"/>
    </row>
    <row r="744">
      <c r="O744" s="137"/>
      <c r="P744" s="137"/>
      <c r="S744" s="137"/>
      <c r="T744" s="137"/>
      <c r="U744" s="137"/>
    </row>
    <row r="745">
      <c r="O745" s="137"/>
      <c r="P745" s="137"/>
      <c r="S745" s="137"/>
      <c r="T745" s="137"/>
      <c r="U745" s="137"/>
    </row>
    <row r="746">
      <c r="O746" s="137"/>
      <c r="P746" s="137"/>
      <c r="S746" s="137"/>
      <c r="T746" s="137"/>
      <c r="U746" s="137"/>
    </row>
    <row r="747">
      <c r="O747" s="137"/>
      <c r="P747" s="137"/>
      <c r="S747" s="137"/>
      <c r="T747" s="137"/>
      <c r="U747" s="137"/>
    </row>
    <row r="748">
      <c r="O748" s="137"/>
      <c r="P748" s="137"/>
      <c r="S748" s="137"/>
      <c r="T748" s="137"/>
      <c r="U748" s="137"/>
    </row>
    <row r="749">
      <c r="O749" s="137"/>
      <c r="P749" s="137"/>
      <c r="S749" s="137"/>
      <c r="T749" s="137"/>
      <c r="U749" s="137"/>
    </row>
    <row r="750">
      <c r="O750" s="137"/>
      <c r="P750" s="137"/>
      <c r="S750" s="137"/>
      <c r="T750" s="137"/>
      <c r="U750" s="137"/>
    </row>
    <row r="751">
      <c r="O751" s="137"/>
      <c r="P751" s="137"/>
      <c r="S751" s="137"/>
      <c r="T751" s="137"/>
      <c r="U751" s="137"/>
    </row>
    <row r="752">
      <c r="O752" s="137"/>
      <c r="P752" s="137"/>
      <c r="S752" s="137"/>
      <c r="T752" s="137"/>
      <c r="U752" s="137"/>
    </row>
    <row r="753">
      <c r="O753" s="137"/>
      <c r="P753" s="137"/>
      <c r="S753" s="137"/>
      <c r="T753" s="137"/>
      <c r="U753" s="137"/>
    </row>
    <row r="754">
      <c r="O754" s="137"/>
      <c r="P754" s="137"/>
      <c r="S754" s="137"/>
      <c r="T754" s="137"/>
      <c r="U754" s="137"/>
    </row>
    <row r="755">
      <c r="O755" s="137"/>
      <c r="P755" s="137"/>
      <c r="S755" s="137"/>
      <c r="T755" s="137"/>
      <c r="U755" s="137"/>
    </row>
    <row r="756">
      <c r="O756" s="137"/>
      <c r="P756" s="137"/>
      <c r="S756" s="137"/>
      <c r="T756" s="137"/>
      <c r="U756" s="137"/>
    </row>
    <row r="757">
      <c r="O757" s="137"/>
      <c r="P757" s="137"/>
      <c r="S757" s="137"/>
      <c r="T757" s="137"/>
      <c r="U757" s="137"/>
    </row>
    <row r="758">
      <c r="O758" s="137"/>
      <c r="P758" s="137"/>
      <c r="S758" s="137"/>
      <c r="T758" s="137"/>
      <c r="U758" s="137"/>
    </row>
    <row r="759">
      <c r="O759" s="137"/>
      <c r="P759" s="137"/>
      <c r="S759" s="137"/>
      <c r="T759" s="137"/>
      <c r="U759" s="137"/>
    </row>
    <row r="760">
      <c r="O760" s="137"/>
      <c r="P760" s="137"/>
      <c r="S760" s="137"/>
      <c r="T760" s="137"/>
      <c r="U760" s="137"/>
    </row>
    <row r="761">
      <c r="O761" s="137"/>
      <c r="P761" s="137"/>
      <c r="S761" s="137"/>
      <c r="T761" s="137"/>
      <c r="U761" s="137"/>
    </row>
    <row r="762">
      <c r="O762" s="137"/>
      <c r="P762" s="137"/>
      <c r="S762" s="137"/>
      <c r="T762" s="137"/>
      <c r="U762" s="137"/>
    </row>
    <row r="763">
      <c r="O763" s="137"/>
      <c r="P763" s="137"/>
      <c r="S763" s="137"/>
      <c r="T763" s="137"/>
      <c r="U763" s="137"/>
    </row>
    <row r="764">
      <c r="O764" s="137"/>
      <c r="P764" s="137"/>
      <c r="S764" s="137"/>
      <c r="T764" s="137"/>
      <c r="U764" s="137"/>
    </row>
    <row r="765">
      <c r="O765" s="137"/>
      <c r="P765" s="137"/>
      <c r="S765" s="137"/>
      <c r="T765" s="137"/>
      <c r="U765" s="137"/>
    </row>
    <row r="766">
      <c r="O766" s="137"/>
      <c r="P766" s="137"/>
      <c r="S766" s="137"/>
      <c r="T766" s="137"/>
      <c r="U766" s="137"/>
    </row>
    <row r="767">
      <c r="O767" s="137"/>
      <c r="P767" s="137"/>
      <c r="S767" s="137"/>
      <c r="T767" s="137"/>
      <c r="U767" s="137"/>
    </row>
    <row r="768">
      <c r="O768" s="137"/>
      <c r="P768" s="137"/>
      <c r="S768" s="137"/>
      <c r="T768" s="137"/>
      <c r="U768" s="137"/>
    </row>
    <row r="769">
      <c r="O769" s="137"/>
      <c r="P769" s="137"/>
      <c r="S769" s="137"/>
      <c r="T769" s="137"/>
      <c r="U769" s="137"/>
    </row>
    <row r="770">
      <c r="O770" s="137"/>
      <c r="P770" s="137"/>
      <c r="S770" s="137"/>
      <c r="T770" s="137"/>
      <c r="U770" s="137"/>
    </row>
    <row r="771">
      <c r="O771" s="137"/>
      <c r="P771" s="137"/>
      <c r="S771" s="137"/>
      <c r="T771" s="137"/>
      <c r="U771" s="137"/>
    </row>
    <row r="772">
      <c r="O772" s="137"/>
      <c r="P772" s="137"/>
      <c r="S772" s="137"/>
      <c r="T772" s="137"/>
      <c r="U772" s="137"/>
    </row>
    <row r="773">
      <c r="O773" s="137"/>
      <c r="P773" s="137"/>
      <c r="S773" s="137"/>
      <c r="T773" s="137"/>
      <c r="U773" s="137"/>
    </row>
    <row r="774">
      <c r="O774" s="137"/>
      <c r="P774" s="137"/>
      <c r="S774" s="137"/>
      <c r="T774" s="137"/>
      <c r="U774" s="137"/>
    </row>
    <row r="775">
      <c r="O775" s="137"/>
      <c r="P775" s="137"/>
      <c r="S775" s="137"/>
      <c r="T775" s="137"/>
      <c r="U775" s="137"/>
    </row>
    <row r="776">
      <c r="O776" s="137"/>
      <c r="P776" s="137"/>
      <c r="S776" s="137"/>
      <c r="T776" s="137"/>
      <c r="U776" s="137"/>
    </row>
    <row r="777">
      <c r="O777" s="137"/>
      <c r="P777" s="137"/>
      <c r="S777" s="137"/>
      <c r="T777" s="137"/>
      <c r="U777" s="137"/>
    </row>
    <row r="778">
      <c r="O778" s="137"/>
      <c r="P778" s="137"/>
      <c r="S778" s="137"/>
      <c r="T778" s="137"/>
      <c r="U778" s="137"/>
    </row>
    <row r="779">
      <c r="O779" s="137"/>
      <c r="P779" s="137"/>
      <c r="S779" s="137"/>
      <c r="T779" s="137"/>
      <c r="U779" s="137"/>
    </row>
    <row r="780">
      <c r="O780" s="137"/>
      <c r="P780" s="137"/>
      <c r="S780" s="137"/>
      <c r="T780" s="137"/>
      <c r="U780" s="137"/>
    </row>
    <row r="781">
      <c r="O781" s="137"/>
      <c r="P781" s="137"/>
      <c r="S781" s="137"/>
      <c r="T781" s="137"/>
      <c r="U781" s="137"/>
    </row>
    <row r="782">
      <c r="O782" s="137"/>
      <c r="P782" s="137"/>
      <c r="S782" s="137"/>
      <c r="T782" s="137"/>
      <c r="U782" s="137"/>
    </row>
    <row r="783">
      <c r="O783" s="137"/>
      <c r="P783" s="137"/>
      <c r="S783" s="137"/>
      <c r="T783" s="137"/>
      <c r="U783" s="137"/>
    </row>
    <row r="784">
      <c r="O784" s="137"/>
      <c r="P784" s="137"/>
      <c r="S784" s="137"/>
      <c r="T784" s="137"/>
      <c r="U784" s="137"/>
    </row>
    <row r="785">
      <c r="O785" s="137"/>
      <c r="P785" s="137"/>
      <c r="S785" s="137"/>
      <c r="T785" s="137"/>
      <c r="U785" s="137"/>
    </row>
    <row r="786">
      <c r="O786" s="137"/>
      <c r="P786" s="137"/>
      <c r="S786" s="137"/>
      <c r="T786" s="137"/>
      <c r="U786" s="137"/>
    </row>
    <row r="787">
      <c r="O787" s="137"/>
      <c r="P787" s="137"/>
      <c r="S787" s="137"/>
      <c r="T787" s="137"/>
      <c r="U787" s="137"/>
    </row>
    <row r="788">
      <c r="O788" s="137"/>
      <c r="P788" s="137"/>
      <c r="S788" s="137"/>
      <c r="T788" s="137"/>
      <c r="U788" s="137"/>
    </row>
    <row r="789">
      <c r="O789" s="137"/>
      <c r="P789" s="137"/>
      <c r="S789" s="137"/>
      <c r="T789" s="137"/>
      <c r="U789" s="137"/>
    </row>
    <row r="790">
      <c r="O790" s="137"/>
      <c r="P790" s="137"/>
      <c r="S790" s="137"/>
      <c r="T790" s="137"/>
      <c r="U790" s="137"/>
    </row>
    <row r="791">
      <c r="O791" s="137"/>
      <c r="P791" s="137"/>
      <c r="S791" s="137"/>
      <c r="T791" s="137"/>
      <c r="U791" s="137"/>
    </row>
    <row r="792">
      <c r="O792" s="137"/>
      <c r="P792" s="137"/>
      <c r="S792" s="137"/>
      <c r="T792" s="137"/>
      <c r="U792" s="137"/>
    </row>
    <row r="793">
      <c r="O793" s="137"/>
      <c r="P793" s="137"/>
      <c r="S793" s="137"/>
      <c r="T793" s="137"/>
      <c r="U793" s="137"/>
    </row>
    <row r="794">
      <c r="O794" s="137"/>
      <c r="P794" s="137"/>
      <c r="S794" s="137"/>
      <c r="T794" s="137"/>
      <c r="U794" s="137"/>
    </row>
    <row r="795">
      <c r="O795" s="137"/>
      <c r="P795" s="137"/>
      <c r="S795" s="137"/>
      <c r="T795" s="137"/>
      <c r="U795" s="137"/>
    </row>
    <row r="796">
      <c r="O796" s="137"/>
      <c r="P796" s="137"/>
      <c r="S796" s="137"/>
      <c r="T796" s="137"/>
      <c r="U796" s="137"/>
    </row>
    <row r="797">
      <c r="O797" s="137"/>
      <c r="P797" s="137"/>
      <c r="S797" s="137"/>
      <c r="T797" s="137"/>
      <c r="U797" s="137"/>
    </row>
    <row r="798">
      <c r="O798" s="137"/>
      <c r="P798" s="137"/>
      <c r="S798" s="137"/>
      <c r="T798" s="137"/>
      <c r="U798" s="137"/>
    </row>
    <row r="799">
      <c r="O799" s="137"/>
      <c r="P799" s="137"/>
      <c r="S799" s="137"/>
      <c r="T799" s="137"/>
      <c r="U799" s="137"/>
    </row>
    <row r="800">
      <c r="O800" s="137"/>
      <c r="P800" s="137"/>
      <c r="S800" s="137"/>
      <c r="T800" s="137"/>
      <c r="U800" s="137"/>
    </row>
    <row r="801">
      <c r="O801" s="137"/>
      <c r="P801" s="137"/>
      <c r="S801" s="137"/>
      <c r="T801" s="137"/>
      <c r="U801" s="137"/>
    </row>
    <row r="802">
      <c r="O802" s="137"/>
      <c r="P802" s="137"/>
      <c r="S802" s="137"/>
      <c r="T802" s="137"/>
      <c r="U802" s="137"/>
    </row>
    <row r="803">
      <c r="O803" s="137"/>
      <c r="P803" s="137"/>
      <c r="S803" s="137"/>
      <c r="T803" s="137"/>
      <c r="U803" s="137"/>
    </row>
    <row r="804">
      <c r="O804" s="137"/>
      <c r="P804" s="137"/>
      <c r="S804" s="137"/>
      <c r="T804" s="137"/>
      <c r="U804" s="137"/>
    </row>
    <row r="805">
      <c r="O805" s="137"/>
      <c r="P805" s="137"/>
      <c r="S805" s="137"/>
      <c r="T805" s="137"/>
      <c r="U805" s="137"/>
    </row>
    <row r="806">
      <c r="O806" s="137"/>
      <c r="P806" s="137"/>
      <c r="S806" s="137"/>
      <c r="T806" s="137"/>
      <c r="U806" s="137"/>
    </row>
    <row r="807">
      <c r="O807" s="137"/>
      <c r="P807" s="137"/>
      <c r="S807" s="137"/>
      <c r="T807" s="137"/>
      <c r="U807" s="137"/>
    </row>
    <row r="808">
      <c r="O808" s="137"/>
      <c r="P808" s="137"/>
      <c r="S808" s="137"/>
      <c r="T808" s="137"/>
      <c r="U808" s="137"/>
    </row>
    <row r="809">
      <c r="O809" s="137"/>
      <c r="P809" s="137"/>
      <c r="S809" s="137"/>
      <c r="T809" s="137"/>
      <c r="U809" s="137"/>
    </row>
    <row r="810">
      <c r="O810" s="137"/>
      <c r="P810" s="137"/>
      <c r="S810" s="137"/>
      <c r="T810" s="137"/>
      <c r="U810" s="137"/>
    </row>
    <row r="811">
      <c r="O811" s="137"/>
      <c r="P811" s="137"/>
      <c r="S811" s="137"/>
      <c r="T811" s="137"/>
      <c r="U811" s="137"/>
    </row>
    <row r="812">
      <c r="O812" s="137"/>
      <c r="P812" s="137"/>
      <c r="S812" s="137"/>
      <c r="T812" s="137"/>
      <c r="U812" s="137"/>
    </row>
    <row r="813">
      <c r="O813" s="137"/>
      <c r="P813" s="137"/>
      <c r="S813" s="137"/>
      <c r="T813" s="137"/>
      <c r="U813" s="137"/>
    </row>
    <row r="814">
      <c r="O814" s="137"/>
      <c r="P814" s="137"/>
      <c r="S814" s="137"/>
      <c r="T814" s="137"/>
      <c r="U814" s="137"/>
    </row>
    <row r="815">
      <c r="O815" s="137"/>
      <c r="P815" s="137"/>
      <c r="S815" s="137"/>
      <c r="T815" s="137"/>
      <c r="U815" s="137"/>
    </row>
    <row r="816">
      <c r="O816" s="137"/>
      <c r="P816" s="137"/>
      <c r="S816" s="137"/>
      <c r="T816" s="137"/>
      <c r="U816" s="137"/>
    </row>
    <row r="817">
      <c r="O817" s="137"/>
      <c r="P817" s="137"/>
      <c r="S817" s="137"/>
      <c r="T817" s="137"/>
      <c r="U817" s="137"/>
    </row>
    <row r="818">
      <c r="O818" s="137"/>
      <c r="P818" s="137"/>
      <c r="S818" s="137"/>
      <c r="T818" s="137"/>
      <c r="U818" s="137"/>
    </row>
    <row r="819">
      <c r="O819" s="137"/>
      <c r="P819" s="137"/>
      <c r="S819" s="137"/>
      <c r="T819" s="137"/>
      <c r="U819" s="137"/>
    </row>
    <row r="820">
      <c r="O820" s="137"/>
      <c r="P820" s="137"/>
      <c r="S820" s="137"/>
      <c r="T820" s="137"/>
      <c r="U820" s="137"/>
    </row>
    <row r="821">
      <c r="O821" s="137"/>
      <c r="P821" s="137"/>
      <c r="S821" s="137"/>
      <c r="T821" s="137"/>
      <c r="U821" s="137"/>
    </row>
    <row r="822">
      <c r="O822" s="137"/>
      <c r="P822" s="137"/>
      <c r="S822" s="137"/>
      <c r="T822" s="137"/>
      <c r="U822" s="137"/>
    </row>
    <row r="823">
      <c r="O823" s="137"/>
      <c r="P823" s="137"/>
      <c r="S823" s="137"/>
      <c r="T823" s="137"/>
      <c r="U823" s="137"/>
    </row>
    <row r="824">
      <c r="O824" s="137"/>
      <c r="P824" s="137"/>
      <c r="S824" s="137"/>
      <c r="T824" s="137"/>
      <c r="U824" s="137"/>
    </row>
    <row r="825">
      <c r="O825" s="137"/>
      <c r="P825" s="137"/>
      <c r="S825" s="137"/>
      <c r="T825" s="137"/>
      <c r="U825" s="137"/>
    </row>
    <row r="826">
      <c r="O826" s="137"/>
      <c r="P826" s="137"/>
      <c r="S826" s="137"/>
      <c r="T826" s="137"/>
      <c r="U826" s="137"/>
    </row>
    <row r="827">
      <c r="O827" s="137"/>
      <c r="P827" s="137"/>
      <c r="S827" s="137"/>
      <c r="T827" s="137"/>
      <c r="U827" s="137"/>
    </row>
    <row r="828">
      <c r="O828" s="137"/>
      <c r="P828" s="137"/>
      <c r="S828" s="137"/>
      <c r="T828" s="137"/>
      <c r="U828" s="137"/>
    </row>
    <row r="829">
      <c r="O829" s="137"/>
      <c r="P829" s="137"/>
      <c r="S829" s="137"/>
      <c r="T829" s="137"/>
      <c r="U829" s="137"/>
    </row>
    <row r="830">
      <c r="O830" s="137"/>
      <c r="P830" s="137"/>
      <c r="S830" s="137"/>
      <c r="T830" s="137"/>
      <c r="U830" s="137"/>
    </row>
    <row r="831">
      <c r="O831" s="137"/>
      <c r="P831" s="137"/>
      <c r="S831" s="137"/>
      <c r="T831" s="137"/>
      <c r="U831" s="137"/>
    </row>
    <row r="832">
      <c r="O832" s="137"/>
      <c r="P832" s="137"/>
      <c r="S832" s="137"/>
      <c r="T832" s="137"/>
      <c r="U832" s="137"/>
    </row>
    <row r="833">
      <c r="O833" s="137"/>
      <c r="P833" s="137"/>
      <c r="S833" s="137"/>
      <c r="T833" s="137"/>
      <c r="U833" s="137"/>
    </row>
    <row r="834">
      <c r="O834" s="137"/>
      <c r="P834" s="137"/>
      <c r="S834" s="137"/>
      <c r="T834" s="137"/>
      <c r="U834" s="137"/>
    </row>
    <row r="835">
      <c r="O835" s="137"/>
      <c r="P835" s="137"/>
      <c r="S835" s="137"/>
      <c r="T835" s="137"/>
      <c r="U835" s="137"/>
    </row>
    <row r="836">
      <c r="O836" s="137"/>
      <c r="P836" s="137"/>
      <c r="S836" s="137"/>
      <c r="T836" s="137"/>
      <c r="U836" s="137"/>
    </row>
    <row r="837">
      <c r="O837" s="137"/>
      <c r="P837" s="137"/>
      <c r="S837" s="137"/>
      <c r="T837" s="137"/>
      <c r="U837" s="137"/>
    </row>
    <row r="838">
      <c r="O838" s="137"/>
      <c r="P838" s="137"/>
      <c r="S838" s="137"/>
      <c r="T838" s="137"/>
      <c r="U838" s="137"/>
    </row>
    <row r="839">
      <c r="O839" s="137"/>
      <c r="P839" s="137"/>
      <c r="S839" s="137"/>
      <c r="T839" s="137"/>
      <c r="U839" s="137"/>
    </row>
    <row r="840">
      <c r="O840" s="137"/>
      <c r="P840" s="137"/>
      <c r="S840" s="137"/>
      <c r="T840" s="137"/>
      <c r="U840" s="137"/>
    </row>
    <row r="841">
      <c r="O841" s="137"/>
      <c r="P841" s="137"/>
      <c r="S841" s="137"/>
      <c r="T841" s="137"/>
      <c r="U841" s="137"/>
    </row>
    <row r="842">
      <c r="O842" s="137"/>
      <c r="P842" s="137"/>
      <c r="S842" s="137"/>
      <c r="T842" s="137"/>
      <c r="U842" s="137"/>
    </row>
    <row r="843">
      <c r="O843" s="137"/>
      <c r="P843" s="137"/>
      <c r="S843" s="137"/>
      <c r="T843" s="137"/>
      <c r="U843" s="137"/>
    </row>
    <row r="844">
      <c r="O844" s="137"/>
      <c r="P844" s="137"/>
      <c r="S844" s="137"/>
      <c r="T844" s="137"/>
      <c r="U844" s="137"/>
    </row>
    <row r="845">
      <c r="O845" s="137"/>
      <c r="P845" s="137"/>
      <c r="S845" s="137"/>
      <c r="T845" s="137"/>
      <c r="U845" s="137"/>
    </row>
    <row r="846">
      <c r="O846" s="137"/>
      <c r="P846" s="137"/>
      <c r="S846" s="137"/>
      <c r="T846" s="137"/>
      <c r="U846" s="137"/>
    </row>
    <row r="847">
      <c r="O847" s="137"/>
      <c r="P847" s="137"/>
      <c r="S847" s="137"/>
      <c r="T847" s="137"/>
      <c r="U847" s="137"/>
    </row>
    <row r="848">
      <c r="O848" s="137"/>
      <c r="P848" s="137"/>
      <c r="S848" s="137"/>
      <c r="T848" s="137"/>
      <c r="U848" s="137"/>
    </row>
    <row r="849">
      <c r="O849" s="137"/>
      <c r="P849" s="137"/>
      <c r="S849" s="137"/>
      <c r="T849" s="137"/>
      <c r="U849" s="137"/>
    </row>
    <row r="850">
      <c r="O850" s="137"/>
      <c r="P850" s="137"/>
      <c r="S850" s="137"/>
      <c r="T850" s="137"/>
      <c r="U850" s="137"/>
    </row>
    <row r="851">
      <c r="O851" s="137"/>
      <c r="P851" s="137"/>
      <c r="S851" s="137"/>
      <c r="T851" s="137"/>
      <c r="U851" s="137"/>
    </row>
    <row r="852">
      <c r="O852" s="137"/>
      <c r="P852" s="137"/>
      <c r="S852" s="137"/>
      <c r="T852" s="137"/>
      <c r="U852" s="137"/>
    </row>
    <row r="853">
      <c r="O853" s="137"/>
      <c r="P853" s="137"/>
      <c r="S853" s="137"/>
      <c r="T853" s="137"/>
      <c r="U853" s="137"/>
    </row>
    <row r="854">
      <c r="O854" s="137"/>
      <c r="P854" s="137"/>
      <c r="S854" s="137"/>
      <c r="T854" s="137"/>
      <c r="U854" s="137"/>
    </row>
    <row r="855">
      <c r="O855" s="137"/>
      <c r="P855" s="137"/>
      <c r="S855" s="137"/>
      <c r="T855" s="137"/>
      <c r="U855" s="137"/>
    </row>
    <row r="856">
      <c r="O856" s="137"/>
      <c r="P856" s="137"/>
      <c r="S856" s="137"/>
      <c r="T856" s="137"/>
      <c r="U856" s="137"/>
    </row>
    <row r="857">
      <c r="O857" s="137"/>
      <c r="P857" s="137"/>
      <c r="S857" s="137"/>
      <c r="T857" s="137"/>
      <c r="U857" s="137"/>
    </row>
    <row r="858">
      <c r="O858" s="137"/>
      <c r="P858" s="137"/>
      <c r="S858" s="137"/>
      <c r="T858" s="137"/>
      <c r="U858" s="137"/>
    </row>
    <row r="859">
      <c r="O859" s="137"/>
      <c r="P859" s="137"/>
      <c r="S859" s="137"/>
      <c r="T859" s="137"/>
      <c r="U859" s="137"/>
    </row>
    <row r="860">
      <c r="O860" s="137"/>
      <c r="P860" s="137"/>
      <c r="S860" s="137"/>
      <c r="T860" s="137"/>
      <c r="U860" s="137"/>
    </row>
    <row r="861">
      <c r="O861" s="137"/>
      <c r="P861" s="137"/>
      <c r="S861" s="137"/>
      <c r="T861" s="137"/>
      <c r="U861" s="137"/>
    </row>
    <row r="862">
      <c r="O862" s="137"/>
      <c r="P862" s="137"/>
      <c r="S862" s="137"/>
      <c r="T862" s="137"/>
      <c r="U862" s="137"/>
    </row>
    <row r="863">
      <c r="O863" s="137"/>
      <c r="P863" s="137"/>
      <c r="S863" s="137"/>
      <c r="T863" s="137"/>
      <c r="U863" s="137"/>
    </row>
    <row r="864">
      <c r="O864" s="137"/>
      <c r="P864" s="137"/>
      <c r="S864" s="137"/>
      <c r="T864" s="137"/>
      <c r="U864" s="137"/>
    </row>
    <row r="865">
      <c r="O865" s="137"/>
      <c r="P865" s="137"/>
      <c r="S865" s="137"/>
      <c r="T865" s="137"/>
      <c r="U865" s="137"/>
    </row>
    <row r="866">
      <c r="O866" s="137"/>
      <c r="P866" s="137"/>
      <c r="S866" s="137"/>
      <c r="T866" s="137"/>
      <c r="U866" s="137"/>
    </row>
    <row r="867">
      <c r="O867" s="137"/>
      <c r="P867" s="137"/>
      <c r="S867" s="137"/>
      <c r="T867" s="137"/>
      <c r="U867" s="137"/>
    </row>
    <row r="868">
      <c r="O868" s="137"/>
      <c r="P868" s="137"/>
      <c r="S868" s="137"/>
      <c r="T868" s="137"/>
      <c r="U868" s="137"/>
    </row>
    <row r="869">
      <c r="O869" s="137"/>
      <c r="P869" s="137"/>
      <c r="S869" s="137"/>
      <c r="T869" s="137"/>
      <c r="U869" s="137"/>
    </row>
    <row r="870">
      <c r="O870" s="137"/>
      <c r="P870" s="137"/>
      <c r="S870" s="137"/>
      <c r="T870" s="137"/>
      <c r="U870" s="137"/>
    </row>
    <row r="871">
      <c r="O871" s="137"/>
      <c r="P871" s="137"/>
      <c r="S871" s="137"/>
      <c r="T871" s="137"/>
      <c r="U871" s="137"/>
    </row>
    <row r="872">
      <c r="O872" s="137"/>
      <c r="P872" s="137"/>
      <c r="S872" s="137"/>
      <c r="T872" s="137"/>
      <c r="U872" s="137"/>
    </row>
    <row r="873">
      <c r="O873" s="137"/>
      <c r="P873" s="137"/>
      <c r="S873" s="137"/>
      <c r="T873" s="137"/>
      <c r="U873" s="137"/>
    </row>
    <row r="874">
      <c r="O874" s="137"/>
      <c r="P874" s="137"/>
      <c r="S874" s="137"/>
      <c r="T874" s="137"/>
      <c r="U874" s="137"/>
    </row>
    <row r="875">
      <c r="O875" s="137"/>
      <c r="P875" s="137"/>
      <c r="S875" s="137"/>
      <c r="T875" s="137"/>
      <c r="U875" s="137"/>
    </row>
    <row r="876">
      <c r="O876" s="137"/>
      <c r="P876" s="137"/>
      <c r="S876" s="137"/>
      <c r="T876" s="137"/>
      <c r="U876" s="137"/>
    </row>
    <row r="877">
      <c r="O877" s="137"/>
      <c r="P877" s="137"/>
      <c r="S877" s="137"/>
      <c r="T877" s="137"/>
      <c r="U877" s="137"/>
    </row>
    <row r="878">
      <c r="O878" s="137"/>
      <c r="P878" s="137"/>
      <c r="S878" s="137"/>
      <c r="T878" s="137"/>
      <c r="U878" s="137"/>
    </row>
    <row r="879">
      <c r="O879" s="137"/>
      <c r="P879" s="137"/>
      <c r="S879" s="137"/>
      <c r="T879" s="137"/>
      <c r="U879" s="137"/>
    </row>
    <row r="880">
      <c r="O880" s="137"/>
      <c r="P880" s="137"/>
      <c r="S880" s="137"/>
      <c r="T880" s="137"/>
      <c r="U880" s="137"/>
    </row>
    <row r="881">
      <c r="O881" s="137"/>
      <c r="P881" s="137"/>
      <c r="S881" s="137"/>
      <c r="T881" s="137"/>
      <c r="U881" s="137"/>
    </row>
    <row r="882">
      <c r="O882" s="137"/>
      <c r="P882" s="137"/>
      <c r="S882" s="137"/>
      <c r="T882" s="137"/>
      <c r="U882" s="137"/>
    </row>
    <row r="883">
      <c r="O883" s="137"/>
      <c r="P883" s="137"/>
      <c r="S883" s="137"/>
      <c r="T883" s="137"/>
      <c r="U883" s="137"/>
    </row>
    <row r="884">
      <c r="O884" s="137"/>
      <c r="P884" s="137"/>
      <c r="S884" s="137"/>
      <c r="T884" s="137"/>
      <c r="U884" s="137"/>
    </row>
    <row r="885">
      <c r="O885" s="137"/>
      <c r="P885" s="137"/>
      <c r="S885" s="137"/>
      <c r="T885" s="137"/>
      <c r="U885" s="137"/>
    </row>
    <row r="886">
      <c r="O886" s="137"/>
      <c r="P886" s="137"/>
      <c r="S886" s="137"/>
      <c r="T886" s="137"/>
      <c r="U886" s="137"/>
    </row>
    <row r="887">
      <c r="O887" s="137"/>
      <c r="P887" s="137"/>
      <c r="S887" s="137"/>
      <c r="T887" s="137"/>
      <c r="U887" s="137"/>
    </row>
    <row r="888">
      <c r="O888" s="137"/>
      <c r="P888" s="137"/>
      <c r="S888" s="137"/>
      <c r="T888" s="137"/>
      <c r="U888" s="137"/>
    </row>
    <row r="889">
      <c r="O889" s="137"/>
      <c r="P889" s="137"/>
      <c r="S889" s="137"/>
      <c r="T889" s="137"/>
      <c r="U889" s="137"/>
    </row>
    <row r="890">
      <c r="O890" s="137"/>
      <c r="P890" s="137"/>
      <c r="S890" s="137"/>
      <c r="T890" s="137"/>
      <c r="U890" s="137"/>
    </row>
    <row r="891">
      <c r="O891" s="137"/>
      <c r="P891" s="137"/>
      <c r="S891" s="137"/>
      <c r="T891" s="137"/>
      <c r="U891" s="137"/>
    </row>
    <row r="892">
      <c r="O892" s="137"/>
      <c r="P892" s="137"/>
      <c r="S892" s="137"/>
      <c r="T892" s="137"/>
      <c r="U892" s="137"/>
    </row>
    <row r="893">
      <c r="O893" s="137"/>
      <c r="P893" s="137"/>
      <c r="S893" s="137"/>
      <c r="T893" s="137"/>
      <c r="U893" s="137"/>
    </row>
    <row r="894">
      <c r="O894" s="137"/>
      <c r="P894" s="137"/>
      <c r="S894" s="137"/>
      <c r="T894" s="137"/>
      <c r="U894" s="137"/>
    </row>
    <row r="895">
      <c r="O895" s="137"/>
      <c r="P895" s="137"/>
      <c r="S895" s="137"/>
      <c r="T895" s="137"/>
      <c r="U895" s="137"/>
    </row>
    <row r="896">
      <c r="O896" s="137"/>
      <c r="P896" s="137"/>
      <c r="S896" s="137"/>
      <c r="T896" s="137"/>
      <c r="U896" s="137"/>
    </row>
    <row r="897">
      <c r="O897" s="137"/>
      <c r="P897" s="137"/>
      <c r="S897" s="137"/>
      <c r="T897" s="137"/>
      <c r="U897" s="137"/>
    </row>
    <row r="898">
      <c r="O898" s="137"/>
      <c r="P898" s="137"/>
      <c r="S898" s="137"/>
      <c r="T898" s="137"/>
      <c r="U898" s="137"/>
    </row>
    <row r="899">
      <c r="O899" s="137"/>
      <c r="P899" s="137"/>
      <c r="S899" s="137"/>
      <c r="T899" s="137"/>
      <c r="U899" s="137"/>
    </row>
    <row r="900">
      <c r="O900" s="137"/>
      <c r="P900" s="137"/>
      <c r="S900" s="137"/>
      <c r="T900" s="137"/>
      <c r="U900" s="137"/>
    </row>
    <row r="901">
      <c r="O901" s="137"/>
      <c r="P901" s="137"/>
      <c r="S901" s="137"/>
      <c r="T901" s="137"/>
      <c r="U901" s="137"/>
    </row>
    <row r="902">
      <c r="O902" s="137"/>
      <c r="P902" s="137"/>
      <c r="S902" s="137"/>
      <c r="T902" s="137"/>
      <c r="U902" s="137"/>
    </row>
    <row r="903">
      <c r="O903" s="137"/>
      <c r="P903" s="137"/>
      <c r="S903" s="137"/>
      <c r="T903" s="137"/>
      <c r="U903" s="137"/>
    </row>
    <row r="904">
      <c r="O904" s="137"/>
      <c r="P904" s="137"/>
      <c r="S904" s="137"/>
      <c r="T904" s="137"/>
      <c r="U904" s="137"/>
    </row>
    <row r="905">
      <c r="O905" s="137"/>
      <c r="P905" s="137"/>
      <c r="S905" s="137"/>
      <c r="T905" s="137"/>
      <c r="U905" s="137"/>
    </row>
    <row r="906">
      <c r="O906" s="137"/>
      <c r="P906" s="137"/>
      <c r="S906" s="137"/>
      <c r="T906" s="137"/>
      <c r="U906" s="137"/>
    </row>
    <row r="907">
      <c r="O907" s="137"/>
      <c r="P907" s="137"/>
      <c r="S907" s="137"/>
      <c r="T907" s="137"/>
      <c r="U907" s="137"/>
    </row>
    <row r="908">
      <c r="O908" s="137"/>
      <c r="P908" s="137"/>
      <c r="S908" s="137"/>
      <c r="T908" s="137"/>
      <c r="U908" s="137"/>
    </row>
    <row r="909">
      <c r="O909" s="137"/>
      <c r="P909" s="137"/>
      <c r="S909" s="137"/>
      <c r="T909" s="137"/>
      <c r="U909" s="137"/>
    </row>
    <row r="910">
      <c r="O910" s="137"/>
      <c r="P910" s="137"/>
      <c r="S910" s="137"/>
      <c r="T910" s="137"/>
      <c r="U910" s="137"/>
    </row>
    <row r="911">
      <c r="O911" s="137"/>
      <c r="P911" s="137"/>
      <c r="S911" s="137"/>
      <c r="T911" s="137"/>
      <c r="U911" s="137"/>
    </row>
    <row r="912">
      <c r="O912" s="137"/>
      <c r="P912" s="137"/>
      <c r="S912" s="137"/>
      <c r="T912" s="137"/>
      <c r="U912" s="137"/>
    </row>
    <row r="913">
      <c r="O913" s="137"/>
      <c r="P913" s="137"/>
      <c r="S913" s="137"/>
      <c r="T913" s="137"/>
      <c r="U913" s="137"/>
    </row>
    <row r="914">
      <c r="O914" s="137"/>
      <c r="P914" s="137"/>
      <c r="S914" s="137"/>
      <c r="T914" s="137"/>
      <c r="U914" s="137"/>
    </row>
    <row r="915">
      <c r="O915" s="137"/>
      <c r="P915" s="137"/>
      <c r="S915" s="137"/>
      <c r="T915" s="137"/>
      <c r="U915" s="137"/>
    </row>
    <row r="916">
      <c r="O916" s="137"/>
      <c r="P916" s="137"/>
      <c r="S916" s="137"/>
      <c r="T916" s="137"/>
      <c r="U916" s="137"/>
    </row>
    <row r="917">
      <c r="O917" s="137"/>
      <c r="P917" s="137"/>
      <c r="S917" s="137"/>
      <c r="T917" s="137"/>
      <c r="U917" s="137"/>
    </row>
    <row r="918">
      <c r="O918" s="137"/>
      <c r="P918" s="137"/>
      <c r="S918" s="137"/>
      <c r="T918" s="137"/>
      <c r="U918" s="137"/>
    </row>
    <row r="919">
      <c r="O919" s="137"/>
      <c r="P919" s="137"/>
      <c r="S919" s="137"/>
      <c r="T919" s="137"/>
      <c r="U919" s="137"/>
    </row>
    <row r="920">
      <c r="O920" s="137"/>
      <c r="P920" s="137"/>
      <c r="S920" s="137"/>
      <c r="T920" s="137"/>
      <c r="U920" s="137"/>
    </row>
    <row r="921">
      <c r="O921" s="137"/>
      <c r="P921" s="137"/>
      <c r="S921" s="137"/>
      <c r="T921" s="137"/>
      <c r="U921" s="137"/>
    </row>
    <row r="922">
      <c r="O922" s="137"/>
      <c r="P922" s="137"/>
      <c r="S922" s="137"/>
      <c r="T922" s="137"/>
      <c r="U922" s="137"/>
    </row>
    <row r="923">
      <c r="O923" s="137"/>
      <c r="P923" s="137"/>
      <c r="S923" s="137"/>
      <c r="T923" s="137"/>
      <c r="U923" s="137"/>
    </row>
    <row r="924">
      <c r="O924" s="137"/>
      <c r="P924" s="137"/>
      <c r="S924" s="137"/>
      <c r="T924" s="137"/>
      <c r="U924" s="137"/>
    </row>
    <row r="925">
      <c r="O925" s="137"/>
      <c r="P925" s="137"/>
      <c r="S925" s="137"/>
      <c r="T925" s="137"/>
      <c r="U925" s="137"/>
    </row>
    <row r="926">
      <c r="O926" s="137"/>
      <c r="P926" s="137"/>
      <c r="S926" s="137"/>
      <c r="T926" s="137"/>
      <c r="U926" s="137"/>
    </row>
    <row r="927">
      <c r="O927" s="137"/>
      <c r="P927" s="137"/>
      <c r="S927" s="137"/>
      <c r="T927" s="137"/>
      <c r="U927" s="137"/>
    </row>
    <row r="928">
      <c r="O928" s="137"/>
      <c r="P928" s="137"/>
      <c r="S928" s="137"/>
      <c r="T928" s="137"/>
      <c r="U928" s="137"/>
    </row>
    <row r="929">
      <c r="O929" s="137"/>
      <c r="P929" s="137"/>
      <c r="S929" s="137"/>
      <c r="T929" s="137"/>
      <c r="U929" s="137"/>
    </row>
    <row r="930">
      <c r="O930" s="137"/>
      <c r="P930" s="137"/>
      <c r="S930" s="137"/>
      <c r="T930" s="137"/>
      <c r="U930" s="137"/>
    </row>
    <row r="931">
      <c r="O931" s="137"/>
      <c r="P931" s="137"/>
      <c r="S931" s="137"/>
      <c r="T931" s="137"/>
      <c r="U931" s="137"/>
    </row>
    <row r="932">
      <c r="O932" s="137"/>
      <c r="P932" s="137"/>
      <c r="S932" s="137"/>
      <c r="T932" s="137"/>
      <c r="U932" s="137"/>
    </row>
    <row r="933">
      <c r="O933" s="137"/>
      <c r="P933" s="137"/>
      <c r="S933" s="137"/>
      <c r="T933" s="137"/>
      <c r="U933" s="137"/>
    </row>
    <row r="934">
      <c r="O934" s="137"/>
      <c r="P934" s="137"/>
      <c r="S934" s="137"/>
      <c r="T934" s="137"/>
      <c r="U934" s="137"/>
    </row>
    <row r="935">
      <c r="O935" s="137"/>
      <c r="P935" s="137"/>
      <c r="S935" s="137"/>
      <c r="T935" s="137"/>
      <c r="U935" s="137"/>
    </row>
    <row r="936">
      <c r="O936" s="137"/>
      <c r="P936" s="137"/>
      <c r="S936" s="137"/>
      <c r="T936" s="137"/>
      <c r="U936" s="137"/>
    </row>
    <row r="937">
      <c r="O937" s="137"/>
      <c r="P937" s="137"/>
      <c r="S937" s="137"/>
      <c r="T937" s="137"/>
      <c r="U937" s="137"/>
    </row>
    <row r="938">
      <c r="O938" s="137"/>
      <c r="P938" s="137"/>
      <c r="S938" s="137"/>
      <c r="T938" s="137"/>
      <c r="U938" s="137"/>
    </row>
    <row r="939">
      <c r="O939" s="137"/>
      <c r="P939" s="137"/>
      <c r="S939" s="137"/>
      <c r="T939" s="137"/>
      <c r="U939" s="137"/>
    </row>
    <row r="940">
      <c r="O940" s="137"/>
      <c r="P940" s="137"/>
      <c r="S940" s="137"/>
      <c r="T940" s="137"/>
      <c r="U940" s="137"/>
    </row>
    <row r="941">
      <c r="O941" s="137"/>
      <c r="P941" s="137"/>
      <c r="S941" s="137"/>
      <c r="T941" s="137"/>
      <c r="U941" s="137"/>
    </row>
    <row r="942">
      <c r="O942" s="137"/>
      <c r="P942" s="137"/>
      <c r="S942" s="137"/>
      <c r="T942" s="137"/>
      <c r="U942" s="137"/>
    </row>
    <row r="943">
      <c r="O943" s="137"/>
      <c r="P943" s="137"/>
      <c r="S943" s="137"/>
      <c r="T943" s="137"/>
      <c r="U943" s="137"/>
    </row>
    <row r="944">
      <c r="O944" s="137"/>
      <c r="P944" s="137"/>
      <c r="S944" s="137"/>
      <c r="T944" s="137"/>
      <c r="U944" s="137"/>
    </row>
    <row r="945">
      <c r="O945" s="137"/>
      <c r="P945" s="137"/>
      <c r="S945" s="137"/>
      <c r="T945" s="137"/>
      <c r="U945" s="137"/>
    </row>
    <row r="946">
      <c r="O946" s="137"/>
      <c r="P946" s="137"/>
      <c r="S946" s="137"/>
      <c r="T946" s="137"/>
      <c r="U946" s="137"/>
    </row>
    <row r="947">
      <c r="O947" s="137"/>
      <c r="P947" s="137"/>
      <c r="S947" s="137"/>
      <c r="T947" s="137"/>
      <c r="U947" s="137"/>
    </row>
    <row r="948">
      <c r="O948" s="137"/>
      <c r="P948" s="137"/>
      <c r="S948" s="137"/>
      <c r="T948" s="137"/>
      <c r="U948" s="137"/>
    </row>
    <row r="949">
      <c r="O949" s="137"/>
      <c r="P949" s="137"/>
      <c r="S949" s="137"/>
      <c r="T949" s="137"/>
      <c r="U949" s="137"/>
    </row>
    <row r="950">
      <c r="O950" s="137"/>
      <c r="P950" s="137"/>
      <c r="S950" s="137"/>
      <c r="T950" s="137"/>
      <c r="U950" s="137"/>
    </row>
    <row r="951">
      <c r="O951" s="137"/>
      <c r="P951" s="137"/>
      <c r="S951" s="137"/>
      <c r="T951" s="137"/>
      <c r="U951" s="137"/>
    </row>
    <row r="952">
      <c r="O952" s="137"/>
      <c r="P952" s="137"/>
      <c r="S952" s="137"/>
      <c r="T952" s="137"/>
      <c r="U952" s="137"/>
    </row>
    <row r="953">
      <c r="O953" s="137"/>
      <c r="P953" s="137"/>
      <c r="S953" s="137"/>
      <c r="T953" s="137"/>
      <c r="U953" s="137"/>
    </row>
    <row r="954">
      <c r="O954" s="137"/>
      <c r="P954" s="137"/>
      <c r="S954" s="137"/>
      <c r="T954" s="137"/>
      <c r="U954" s="137"/>
    </row>
    <row r="955">
      <c r="O955" s="137"/>
      <c r="P955" s="137"/>
      <c r="S955" s="137"/>
      <c r="T955" s="137"/>
      <c r="U955" s="137"/>
    </row>
    <row r="956">
      <c r="O956" s="137"/>
      <c r="P956" s="137"/>
      <c r="S956" s="137"/>
      <c r="T956" s="137"/>
      <c r="U956" s="137"/>
    </row>
    <row r="957">
      <c r="O957" s="137"/>
      <c r="P957" s="137"/>
      <c r="S957" s="137"/>
      <c r="T957" s="137"/>
      <c r="U957" s="137"/>
    </row>
    <row r="958">
      <c r="O958" s="137"/>
      <c r="P958" s="137"/>
      <c r="S958" s="137"/>
      <c r="T958" s="137"/>
      <c r="U958" s="137"/>
    </row>
    <row r="959">
      <c r="O959" s="137"/>
      <c r="P959" s="137"/>
      <c r="S959" s="137"/>
      <c r="T959" s="137"/>
      <c r="U959" s="137"/>
    </row>
    <row r="960">
      <c r="O960" s="137"/>
      <c r="P960" s="137"/>
      <c r="S960" s="137"/>
      <c r="T960" s="137"/>
      <c r="U960" s="137"/>
    </row>
    <row r="961">
      <c r="O961" s="137"/>
      <c r="P961" s="137"/>
      <c r="S961" s="137"/>
      <c r="T961" s="137"/>
      <c r="U961" s="137"/>
    </row>
    <row r="962">
      <c r="O962" s="137"/>
      <c r="P962" s="137"/>
      <c r="S962" s="137"/>
      <c r="T962" s="137"/>
      <c r="U962" s="137"/>
    </row>
    <row r="963">
      <c r="O963" s="137"/>
      <c r="P963" s="137"/>
      <c r="S963" s="137"/>
      <c r="T963" s="137"/>
      <c r="U963" s="137"/>
    </row>
    <row r="964">
      <c r="O964" s="137"/>
      <c r="P964" s="137"/>
      <c r="S964" s="137"/>
      <c r="T964" s="137"/>
      <c r="U964" s="137"/>
    </row>
    <row r="965">
      <c r="O965" s="137"/>
      <c r="P965" s="137"/>
      <c r="S965" s="137"/>
      <c r="T965" s="137"/>
      <c r="U965" s="137"/>
    </row>
    <row r="966">
      <c r="O966" s="137"/>
      <c r="P966" s="137"/>
      <c r="S966" s="137"/>
      <c r="T966" s="137"/>
      <c r="U966" s="137"/>
    </row>
    <row r="967">
      <c r="O967" s="137"/>
      <c r="P967" s="137"/>
      <c r="S967" s="137"/>
      <c r="T967" s="137"/>
      <c r="U967" s="137"/>
    </row>
    <row r="968">
      <c r="O968" s="137"/>
      <c r="P968" s="137"/>
      <c r="S968" s="137"/>
      <c r="T968" s="137"/>
      <c r="U968" s="137"/>
    </row>
    <row r="969">
      <c r="O969" s="137"/>
      <c r="P969" s="137"/>
      <c r="S969" s="137"/>
      <c r="T969" s="137"/>
      <c r="U969" s="137"/>
    </row>
    <row r="970">
      <c r="O970" s="137"/>
      <c r="P970" s="137"/>
      <c r="S970" s="137"/>
      <c r="T970" s="137"/>
      <c r="U970" s="137"/>
    </row>
    <row r="971">
      <c r="O971" s="137"/>
      <c r="P971" s="137"/>
      <c r="S971" s="137"/>
      <c r="T971" s="137"/>
      <c r="U971" s="137"/>
    </row>
    <row r="972">
      <c r="O972" s="137"/>
      <c r="P972" s="137"/>
      <c r="S972" s="137"/>
      <c r="T972" s="137"/>
      <c r="U972" s="137"/>
    </row>
    <row r="973">
      <c r="O973" s="137"/>
      <c r="P973" s="137"/>
      <c r="S973" s="137"/>
      <c r="T973" s="137"/>
      <c r="U973" s="137"/>
    </row>
    <row r="974">
      <c r="O974" s="137"/>
      <c r="P974" s="137"/>
      <c r="S974" s="137"/>
      <c r="T974" s="137"/>
      <c r="U974" s="137"/>
    </row>
    <row r="975">
      <c r="O975" s="137"/>
      <c r="P975" s="137"/>
      <c r="S975" s="137"/>
      <c r="T975" s="137"/>
      <c r="U975" s="137"/>
    </row>
    <row r="976">
      <c r="O976" s="137"/>
      <c r="P976" s="137"/>
      <c r="S976" s="137"/>
      <c r="T976" s="137"/>
      <c r="U976" s="137"/>
    </row>
    <row r="977">
      <c r="O977" s="137"/>
      <c r="P977" s="137"/>
      <c r="S977" s="137"/>
      <c r="T977" s="137"/>
      <c r="U977" s="137"/>
    </row>
    <row r="978">
      <c r="O978" s="137"/>
      <c r="P978" s="137"/>
      <c r="S978" s="137"/>
      <c r="T978" s="137"/>
      <c r="U978" s="137"/>
    </row>
    <row r="979">
      <c r="O979" s="137"/>
      <c r="P979" s="137"/>
      <c r="S979" s="137"/>
      <c r="T979" s="137"/>
      <c r="U979" s="137"/>
    </row>
    <row r="980">
      <c r="O980" s="137"/>
      <c r="P980" s="137"/>
      <c r="S980" s="137"/>
      <c r="T980" s="137"/>
      <c r="U980" s="137"/>
    </row>
    <row r="981">
      <c r="O981" s="137"/>
      <c r="P981" s="137"/>
      <c r="S981" s="137"/>
      <c r="T981" s="137"/>
      <c r="U981" s="137"/>
    </row>
    <row r="982">
      <c r="O982" s="137"/>
      <c r="P982" s="137"/>
      <c r="S982" s="137"/>
      <c r="T982" s="137"/>
      <c r="U982" s="137"/>
    </row>
    <row r="983">
      <c r="O983" s="137"/>
      <c r="P983" s="137"/>
      <c r="S983" s="137"/>
      <c r="T983" s="137"/>
      <c r="U983" s="137"/>
    </row>
    <row r="984">
      <c r="O984" s="137"/>
      <c r="P984" s="137"/>
      <c r="S984" s="137"/>
      <c r="T984" s="137"/>
      <c r="U984" s="137"/>
    </row>
    <row r="985">
      <c r="O985" s="137"/>
      <c r="P985" s="137"/>
      <c r="S985" s="137"/>
      <c r="T985" s="137"/>
      <c r="U985" s="137"/>
    </row>
    <row r="986">
      <c r="O986" s="137"/>
      <c r="P986" s="137"/>
      <c r="S986" s="137"/>
      <c r="T986" s="137"/>
      <c r="U986" s="137"/>
    </row>
    <row r="987">
      <c r="O987" s="137"/>
      <c r="P987" s="137"/>
      <c r="S987" s="137"/>
      <c r="T987" s="137"/>
      <c r="U987" s="137"/>
    </row>
    <row r="988">
      <c r="O988" s="137"/>
      <c r="P988" s="137"/>
      <c r="S988" s="137"/>
      <c r="T988" s="137"/>
      <c r="U988" s="137"/>
    </row>
    <row r="989">
      <c r="O989" s="137"/>
      <c r="P989" s="137"/>
      <c r="S989" s="137"/>
      <c r="T989" s="137"/>
      <c r="U989" s="137"/>
    </row>
    <row r="990">
      <c r="O990" s="137"/>
      <c r="P990" s="137"/>
      <c r="S990" s="137"/>
      <c r="T990" s="137"/>
      <c r="U990" s="137"/>
    </row>
    <row r="991">
      <c r="O991" s="137"/>
      <c r="P991" s="137"/>
      <c r="S991" s="137"/>
      <c r="T991" s="137"/>
      <c r="U991" s="137"/>
    </row>
    <row r="992">
      <c r="O992" s="137"/>
      <c r="P992" s="137"/>
      <c r="S992" s="137"/>
      <c r="T992" s="137"/>
      <c r="U992" s="137"/>
    </row>
    <row r="993">
      <c r="O993" s="137"/>
      <c r="P993" s="137"/>
      <c r="S993" s="137"/>
      <c r="T993" s="137"/>
      <c r="U993" s="137"/>
    </row>
    <row r="994">
      <c r="O994" s="137"/>
      <c r="P994" s="137"/>
      <c r="S994" s="137"/>
      <c r="T994" s="137"/>
      <c r="U994" s="137"/>
    </row>
    <row r="995">
      <c r="O995" s="137"/>
      <c r="P995" s="137"/>
      <c r="S995" s="137"/>
      <c r="T995" s="137"/>
      <c r="U995" s="137"/>
    </row>
    <row r="996">
      <c r="O996" s="137"/>
      <c r="P996" s="137"/>
      <c r="S996" s="137"/>
      <c r="T996" s="137"/>
      <c r="U996" s="137"/>
    </row>
    <row r="997">
      <c r="O997" s="137"/>
      <c r="P997" s="137"/>
      <c r="S997" s="137"/>
      <c r="T997" s="137"/>
      <c r="U997" s="137"/>
    </row>
    <row r="998">
      <c r="O998" s="137"/>
      <c r="P998" s="137"/>
      <c r="S998" s="137"/>
      <c r="T998" s="137"/>
      <c r="U998" s="137"/>
    </row>
    <row r="999">
      <c r="O999" s="137"/>
      <c r="P999" s="137"/>
      <c r="S999" s="137"/>
      <c r="T999" s="137"/>
      <c r="U999" s="137"/>
    </row>
    <row r="1000">
      <c r="O1000" s="137"/>
      <c r="P1000" s="137"/>
      <c r="S1000" s="137"/>
      <c r="T1000" s="137"/>
      <c r="U1000" s="13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1.13"/>
    <col customWidth="1" min="8" max="8" width="26.63"/>
    <col customWidth="1" min="9" max="68" width="21.13"/>
  </cols>
  <sheetData>
    <row r="1">
      <c r="A1" s="138" t="s">
        <v>2565</v>
      </c>
      <c r="B1" s="139" t="s">
        <v>2566</v>
      </c>
      <c r="C1" s="139" t="s">
        <v>2567</v>
      </c>
      <c r="D1" s="139" t="s">
        <v>2568</v>
      </c>
      <c r="E1" s="139" t="s">
        <v>2569</v>
      </c>
      <c r="F1" s="139" t="s">
        <v>2570</v>
      </c>
      <c r="G1" s="139" t="s">
        <v>2571</v>
      </c>
      <c r="H1" s="139" t="s">
        <v>2572</v>
      </c>
      <c r="I1" s="139" t="s">
        <v>2573</v>
      </c>
      <c r="J1" s="139" t="s">
        <v>2574</v>
      </c>
      <c r="K1" s="139" t="s">
        <v>2575</v>
      </c>
      <c r="L1" s="139" t="s">
        <v>2576</v>
      </c>
      <c r="M1" s="139" t="s">
        <v>2577</v>
      </c>
      <c r="N1" s="139" t="s">
        <v>2578</v>
      </c>
      <c r="O1" s="139" t="s">
        <v>2579</v>
      </c>
      <c r="P1" s="139" t="s">
        <v>2580</v>
      </c>
      <c r="Q1" s="139" t="s">
        <v>2581</v>
      </c>
      <c r="R1" s="139" t="s">
        <v>2582</v>
      </c>
      <c r="S1" s="139" t="s">
        <v>2583</v>
      </c>
      <c r="T1" s="139" t="s">
        <v>2584</v>
      </c>
      <c r="U1" s="139" t="s">
        <v>2585</v>
      </c>
      <c r="V1" s="139" t="s">
        <v>2586</v>
      </c>
      <c r="W1" s="139" t="s">
        <v>2587</v>
      </c>
      <c r="X1" s="139" t="s">
        <v>2588</v>
      </c>
      <c r="Y1" s="139" t="s">
        <v>2589</v>
      </c>
      <c r="Z1" s="139" t="s">
        <v>2590</v>
      </c>
      <c r="AA1" s="139" t="s">
        <v>2552</v>
      </c>
      <c r="AB1" s="139" t="s">
        <v>2591</v>
      </c>
      <c r="AC1" s="139" t="s">
        <v>2592</v>
      </c>
      <c r="AD1" s="139" t="s">
        <v>2593</v>
      </c>
      <c r="AE1" s="139" t="s">
        <v>2594</v>
      </c>
      <c r="AF1" s="139" t="s">
        <v>2595</v>
      </c>
      <c r="AG1" s="139" t="s">
        <v>2596</v>
      </c>
      <c r="AH1" s="139" t="s">
        <v>2597</v>
      </c>
      <c r="AI1" s="139" t="s">
        <v>2598</v>
      </c>
      <c r="AJ1" s="139" t="s">
        <v>2599</v>
      </c>
      <c r="AK1" s="139" t="s">
        <v>2600</v>
      </c>
      <c r="AL1" s="139" t="s">
        <v>2601</v>
      </c>
      <c r="AM1" s="139" t="s">
        <v>2602</v>
      </c>
      <c r="AN1" s="139" t="s">
        <v>2603</v>
      </c>
      <c r="AO1" s="139" t="s">
        <v>2604</v>
      </c>
      <c r="AP1" s="139" t="s">
        <v>2605</v>
      </c>
      <c r="AQ1" s="139" t="s">
        <v>2606</v>
      </c>
      <c r="AR1" s="140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</row>
    <row r="2">
      <c r="A2" s="21" t="s">
        <v>2607</v>
      </c>
      <c r="B2" s="21" t="s">
        <v>394</v>
      </c>
      <c r="D2" s="12" t="s">
        <v>400</v>
      </c>
      <c r="E2" s="12" t="s">
        <v>652</v>
      </c>
      <c r="H2" s="12" t="s">
        <v>398</v>
      </c>
      <c r="I2" s="12" t="s">
        <v>653</v>
      </c>
      <c r="J2" s="12">
        <v>78040.0</v>
      </c>
      <c r="K2" s="21" t="s">
        <v>2491</v>
      </c>
      <c r="L2" s="21" t="s">
        <v>2558</v>
      </c>
      <c r="S2" s="141" t="s">
        <v>2608</v>
      </c>
      <c r="T2" s="21">
        <v>1.0</v>
      </c>
      <c r="U2" s="21">
        <f t="shared" ref="U2:U15" si="1">AM2+0.1</f>
        <v>0.6</v>
      </c>
      <c r="V2" s="21">
        <v>26.0</v>
      </c>
      <c r="W2" s="21">
        <v>15.0</v>
      </c>
      <c r="X2" s="21">
        <v>8.0</v>
      </c>
      <c r="Y2" s="21" t="s">
        <v>935</v>
      </c>
      <c r="AD2" s="136"/>
      <c r="AG2" s="21" t="s">
        <v>2562</v>
      </c>
      <c r="AH2" s="21" t="s">
        <v>2563</v>
      </c>
      <c r="AI2" s="21" t="s">
        <v>2563</v>
      </c>
      <c r="AK2" s="21" t="s">
        <v>2561</v>
      </c>
      <c r="AL2" s="21">
        <v>1.0</v>
      </c>
      <c r="AM2" s="21">
        <v>0.5</v>
      </c>
      <c r="AN2" s="21">
        <v>29.0</v>
      </c>
      <c r="AO2" s="21" t="s">
        <v>2609</v>
      </c>
      <c r="AP2" s="21" t="s">
        <v>20</v>
      </c>
      <c r="AQ2" s="21">
        <v>190120.0</v>
      </c>
    </row>
    <row r="3">
      <c r="A3" s="21" t="s">
        <v>2607</v>
      </c>
      <c r="B3" s="21" t="s">
        <v>2089</v>
      </c>
      <c r="D3" s="21" t="s">
        <v>2094</v>
      </c>
      <c r="E3" s="21" t="s">
        <v>2091</v>
      </c>
      <c r="H3" s="21" t="s">
        <v>2092</v>
      </c>
      <c r="I3" s="21" t="s">
        <v>2093</v>
      </c>
      <c r="J3" s="12">
        <v>57000.0</v>
      </c>
      <c r="K3" s="21" t="s">
        <v>2491</v>
      </c>
      <c r="L3" s="21" t="s">
        <v>2558</v>
      </c>
      <c r="S3" s="141" t="s">
        <v>2608</v>
      </c>
      <c r="T3" s="21">
        <v>1.0</v>
      </c>
      <c r="U3" s="21">
        <f t="shared" si="1"/>
        <v>0.6</v>
      </c>
      <c r="V3" s="21">
        <v>26.0</v>
      </c>
      <c r="W3" s="21">
        <v>15.0</v>
      </c>
      <c r="X3" s="21">
        <v>8.0</v>
      </c>
      <c r="Y3" s="21" t="s">
        <v>935</v>
      </c>
      <c r="AA3" s="18"/>
      <c r="AB3" s="18"/>
      <c r="AD3" s="136"/>
      <c r="AG3" s="21" t="s">
        <v>2562</v>
      </c>
      <c r="AH3" s="21" t="s">
        <v>2563</v>
      </c>
      <c r="AI3" s="21" t="s">
        <v>2563</v>
      </c>
      <c r="AK3" s="21" t="s">
        <v>2561</v>
      </c>
      <c r="AL3" s="21">
        <v>1.0</v>
      </c>
      <c r="AM3" s="21">
        <v>0.5</v>
      </c>
      <c r="AN3" s="21">
        <v>29.0</v>
      </c>
      <c r="AO3" s="21" t="s">
        <v>2609</v>
      </c>
      <c r="AP3" s="21" t="s">
        <v>20</v>
      </c>
      <c r="AQ3" s="21">
        <v>190120.0</v>
      </c>
    </row>
    <row r="4">
      <c r="A4" s="21" t="s">
        <v>2607</v>
      </c>
      <c r="B4" s="21" t="s">
        <v>2096</v>
      </c>
      <c r="D4" s="12" t="s">
        <v>400</v>
      </c>
      <c r="E4" s="21" t="s">
        <v>2098</v>
      </c>
      <c r="H4" s="12" t="s">
        <v>2099</v>
      </c>
      <c r="I4" s="12" t="s">
        <v>2100</v>
      </c>
      <c r="J4" s="12">
        <v>84043.0</v>
      </c>
      <c r="K4" s="21" t="s">
        <v>2491</v>
      </c>
      <c r="L4" s="21" t="s">
        <v>2558</v>
      </c>
      <c r="S4" s="141" t="s">
        <v>2608</v>
      </c>
      <c r="T4" s="21">
        <v>1.0</v>
      </c>
      <c r="U4" s="21">
        <f t="shared" si="1"/>
        <v>0.6</v>
      </c>
      <c r="V4" s="21">
        <v>26.0</v>
      </c>
      <c r="W4" s="21">
        <v>15.0</v>
      </c>
      <c r="X4" s="21">
        <v>8.0</v>
      </c>
      <c r="Y4" s="21" t="s">
        <v>472</v>
      </c>
      <c r="AD4" s="136"/>
      <c r="AG4" s="21" t="s">
        <v>2562</v>
      </c>
      <c r="AH4" s="21" t="s">
        <v>2563</v>
      </c>
      <c r="AI4" s="21" t="s">
        <v>2563</v>
      </c>
      <c r="AK4" s="21" t="s">
        <v>2561</v>
      </c>
      <c r="AL4" s="21">
        <v>1.0</v>
      </c>
      <c r="AM4" s="21">
        <v>0.5</v>
      </c>
      <c r="AN4" s="21">
        <v>29.0</v>
      </c>
      <c r="AO4" s="21" t="s">
        <v>2609</v>
      </c>
      <c r="AP4" s="21" t="s">
        <v>20</v>
      </c>
      <c r="AQ4" s="21">
        <v>190120.0</v>
      </c>
    </row>
    <row r="5">
      <c r="A5" s="21" t="s">
        <v>2607</v>
      </c>
      <c r="B5" s="21" t="s">
        <v>2101</v>
      </c>
      <c r="D5" s="12" t="s">
        <v>400</v>
      </c>
      <c r="E5" s="21" t="s">
        <v>2103</v>
      </c>
      <c r="H5" s="21" t="s">
        <v>2104</v>
      </c>
      <c r="I5" s="21" t="s">
        <v>2105</v>
      </c>
      <c r="J5" s="12">
        <v>91401.0</v>
      </c>
      <c r="K5" s="21" t="s">
        <v>2491</v>
      </c>
      <c r="L5" s="21" t="s">
        <v>2558</v>
      </c>
      <c r="S5" s="141" t="s">
        <v>2608</v>
      </c>
      <c r="T5" s="21">
        <v>1.0</v>
      </c>
      <c r="U5" s="21">
        <f t="shared" si="1"/>
        <v>0.6</v>
      </c>
      <c r="V5" s="21">
        <v>26.0</v>
      </c>
      <c r="W5" s="21">
        <v>15.0</v>
      </c>
      <c r="X5" s="21">
        <v>8.0</v>
      </c>
      <c r="Y5" s="21" t="s">
        <v>472</v>
      </c>
      <c r="AA5" s="18"/>
      <c r="AB5" s="18"/>
      <c r="AD5" s="136"/>
      <c r="AG5" s="21" t="s">
        <v>2562</v>
      </c>
      <c r="AH5" s="21" t="s">
        <v>2563</v>
      </c>
      <c r="AI5" s="21" t="s">
        <v>2563</v>
      </c>
      <c r="AK5" s="21" t="s">
        <v>2561</v>
      </c>
      <c r="AL5" s="21">
        <v>1.0</v>
      </c>
      <c r="AM5" s="21">
        <v>0.5</v>
      </c>
      <c r="AN5" s="21">
        <v>29.0</v>
      </c>
      <c r="AO5" s="21" t="s">
        <v>2609</v>
      </c>
      <c r="AP5" s="21" t="s">
        <v>20</v>
      </c>
      <c r="AQ5" s="21">
        <v>190120.0</v>
      </c>
    </row>
    <row r="6">
      <c r="A6" s="21" t="s">
        <v>2607</v>
      </c>
      <c r="B6" s="21" t="s">
        <v>2107</v>
      </c>
      <c r="D6" s="21" t="s">
        <v>408</v>
      </c>
      <c r="E6" s="21" t="s">
        <v>2109</v>
      </c>
      <c r="H6" s="21" t="s">
        <v>2110</v>
      </c>
      <c r="I6" s="21" t="s">
        <v>2111</v>
      </c>
      <c r="J6" s="12">
        <v>8041.0</v>
      </c>
      <c r="K6" s="21" t="s">
        <v>2491</v>
      </c>
      <c r="L6" s="21" t="s">
        <v>2558</v>
      </c>
      <c r="S6" s="141" t="s">
        <v>2608</v>
      </c>
      <c r="T6" s="21">
        <v>1.0</v>
      </c>
      <c r="U6" s="21">
        <f t="shared" si="1"/>
        <v>0.6</v>
      </c>
      <c r="V6" s="21">
        <v>26.0</v>
      </c>
      <c r="W6" s="21">
        <v>15.0</v>
      </c>
      <c r="X6" s="21">
        <v>8.0</v>
      </c>
      <c r="Y6" s="21" t="s">
        <v>472</v>
      </c>
      <c r="AD6" s="136"/>
      <c r="AG6" s="21" t="s">
        <v>2562</v>
      </c>
      <c r="AH6" s="21" t="s">
        <v>2563</v>
      </c>
      <c r="AI6" s="21" t="s">
        <v>2563</v>
      </c>
      <c r="AK6" s="21" t="s">
        <v>2561</v>
      </c>
      <c r="AL6" s="21">
        <v>1.0</v>
      </c>
      <c r="AM6" s="21">
        <v>0.5</v>
      </c>
      <c r="AN6" s="21">
        <v>29.0</v>
      </c>
      <c r="AO6" s="21" t="s">
        <v>2609</v>
      </c>
      <c r="AP6" s="21" t="s">
        <v>20</v>
      </c>
      <c r="AQ6" s="21">
        <v>190120.0</v>
      </c>
    </row>
    <row r="7">
      <c r="A7" s="21" t="s">
        <v>2607</v>
      </c>
      <c r="B7" s="21" t="s">
        <v>2113</v>
      </c>
      <c r="D7" s="12" t="s">
        <v>408</v>
      </c>
      <c r="E7" s="21" t="s">
        <v>2115</v>
      </c>
      <c r="H7" s="12" t="s">
        <v>2116</v>
      </c>
      <c r="I7" s="12" t="s">
        <v>667</v>
      </c>
      <c r="J7" s="12">
        <v>622.0</v>
      </c>
      <c r="K7" s="21" t="s">
        <v>2491</v>
      </c>
      <c r="L7" s="21" t="s">
        <v>2558</v>
      </c>
      <c r="S7" s="141" t="s">
        <v>2608</v>
      </c>
      <c r="T7" s="21">
        <v>1.0</v>
      </c>
      <c r="U7" s="21">
        <f t="shared" si="1"/>
        <v>0.6</v>
      </c>
      <c r="V7" s="21">
        <v>26.0</v>
      </c>
      <c r="W7" s="21">
        <v>15.0</v>
      </c>
      <c r="X7" s="21">
        <v>8.0</v>
      </c>
      <c r="Y7" s="21" t="s">
        <v>472</v>
      </c>
      <c r="AA7" s="18"/>
      <c r="AB7" s="18"/>
      <c r="AD7" s="136"/>
      <c r="AG7" s="21" t="s">
        <v>2562</v>
      </c>
      <c r="AH7" s="21" t="s">
        <v>2563</v>
      </c>
      <c r="AI7" s="21" t="s">
        <v>2563</v>
      </c>
      <c r="AK7" s="21" t="s">
        <v>2561</v>
      </c>
      <c r="AL7" s="21">
        <v>1.0</v>
      </c>
      <c r="AM7" s="21">
        <v>0.5</v>
      </c>
      <c r="AN7" s="21">
        <v>29.0</v>
      </c>
      <c r="AO7" s="21" t="s">
        <v>2609</v>
      </c>
      <c r="AP7" s="21" t="s">
        <v>20</v>
      </c>
      <c r="AQ7" s="21">
        <v>190120.0</v>
      </c>
    </row>
    <row r="8">
      <c r="A8" s="21" t="s">
        <v>2607</v>
      </c>
      <c r="B8" s="21" t="s">
        <v>888</v>
      </c>
      <c r="D8" s="12" t="s">
        <v>2120</v>
      </c>
      <c r="E8" s="21" t="s">
        <v>2118</v>
      </c>
      <c r="H8" s="12" t="s">
        <v>324</v>
      </c>
      <c r="I8" s="12" t="s">
        <v>324</v>
      </c>
      <c r="J8" s="12" t="s">
        <v>2119</v>
      </c>
      <c r="K8" s="21" t="s">
        <v>2491</v>
      </c>
      <c r="L8" s="21" t="s">
        <v>2558</v>
      </c>
      <c r="S8" s="141" t="s">
        <v>2608</v>
      </c>
      <c r="T8" s="21">
        <v>1.0</v>
      </c>
      <c r="U8" s="21">
        <f t="shared" si="1"/>
        <v>0.6</v>
      </c>
      <c r="V8" s="21">
        <v>26.0</v>
      </c>
      <c r="W8" s="21">
        <v>15.0</v>
      </c>
      <c r="X8" s="21">
        <v>8.0</v>
      </c>
      <c r="Y8" s="21" t="s">
        <v>472</v>
      </c>
      <c r="AD8" s="136"/>
      <c r="AG8" s="21" t="s">
        <v>2562</v>
      </c>
      <c r="AH8" s="21" t="s">
        <v>2563</v>
      </c>
      <c r="AI8" s="21" t="s">
        <v>2563</v>
      </c>
      <c r="AK8" s="21" t="s">
        <v>2561</v>
      </c>
      <c r="AL8" s="21">
        <v>1.0</v>
      </c>
      <c r="AM8" s="21">
        <v>0.5</v>
      </c>
      <c r="AN8" s="21">
        <v>29.0</v>
      </c>
      <c r="AO8" s="21" t="s">
        <v>2609</v>
      </c>
      <c r="AP8" s="21" t="s">
        <v>20</v>
      </c>
      <c r="AQ8" s="21">
        <v>190120.0</v>
      </c>
    </row>
    <row r="9">
      <c r="A9" s="21" t="s">
        <v>2607</v>
      </c>
      <c r="B9" s="14" t="s">
        <v>2121</v>
      </c>
      <c r="D9" s="10" t="s">
        <v>2120</v>
      </c>
      <c r="E9" s="10" t="s">
        <v>2123</v>
      </c>
      <c r="H9" s="10" t="s">
        <v>2124</v>
      </c>
      <c r="I9" s="10" t="s">
        <v>2126</v>
      </c>
      <c r="J9" s="10" t="s">
        <v>2125</v>
      </c>
      <c r="K9" s="21" t="s">
        <v>2491</v>
      </c>
      <c r="L9" s="21" t="s">
        <v>2558</v>
      </c>
      <c r="S9" s="141" t="s">
        <v>2608</v>
      </c>
      <c r="T9" s="21">
        <v>1.0</v>
      </c>
      <c r="U9" s="21">
        <f t="shared" si="1"/>
        <v>0.6</v>
      </c>
      <c r="V9" s="21">
        <v>26.0</v>
      </c>
      <c r="W9" s="21">
        <v>15.0</v>
      </c>
      <c r="X9" s="21">
        <v>8.0</v>
      </c>
      <c r="Y9" s="14" t="s">
        <v>472</v>
      </c>
      <c r="AA9" s="18"/>
      <c r="AB9" s="18"/>
      <c r="AD9" s="136"/>
      <c r="AG9" s="21" t="s">
        <v>2562</v>
      </c>
      <c r="AH9" s="21" t="s">
        <v>2563</v>
      </c>
      <c r="AI9" s="21" t="s">
        <v>2563</v>
      </c>
      <c r="AK9" s="21" t="s">
        <v>2561</v>
      </c>
      <c r="AL9" s="21">
        <v>1.0</v>
      </c>
      <c r="AM9" s="21">
        <v>0.5</v>
      </c>
      <c r="AN9" s="21">
        <v>29.0</v>
      </c>
      <c r="AO9" s="21" t="s">
        <v>2609</v>
      </c>
      <c r="AP9" s="21" t="s">
        <v>20</v>
      </c>
      <c r="AQ9" s="21">
        <v>190120.0</v>
      </c>
    </row>
    <row r="10">
      <c r="A10" s="21" t="s">
        <v>2607</v>
      </c>
      <c r="B10" s="21" t="s">
        <v>2127</v>
      </c>
      <c r="D10" s="12" t="s">
        <v>400</v>
      </c>
      <c r="E10" s="21" t="s">
        <v>2129</v>
      </c>
      <c r="H10" s="12" t="s">
        <v>2130</v>
      </c>
      <c r="I10" s="12" t="s">
        <v>2131</v>
      </c>
      <c r="J10" s="12">
        <v>23454.0</v>
      </c>
      <c r="K10" s="21" t="s">
        <v>2491</v>
      </c>
      <c r="L10" s="21" t="s">
        <v>2558</v>
      </c>
      <c r="S10" s="141" t="s">
        <v>2608</v>
      </c>
      <c r="T10" s="21">
        <v>1.0</v>
      </c>
      <c r="U10" s="21">
        <f t="shared" si="1"/>
        <v>0.6</v>
      </c>
      <c r="V10" s="21">
        <v>26.0</v>
      </c>
      <c r="W10" s="21">
        <v>15.0</v>
      </c>
      <c r="X10" s="21">
        <v>8.0</v>
      </c>
      <c r="Y10" s="21" t="s">
        <v>983</v>
      </c>
      <c r="AD10" s="136"/>
      <c r="AG10" s="21" t="s">
        <v>2562</v>
      </c>
      <c r="AH10" s="21" t="s">
        <v>2563</v>
      </c>
      <c r="AI10" s="21" t="s">
        <v>2563</v>
      </c>
      <c r="AK10" s="21" t="s">
        <v>2561</v>
      </c>
      <c r="AL10" s="21">
        <v>1.0</v>
      </c>
      <c r="AM10" s="21">
        <v>0.5</v>
      </c>
      <c r="AN10" s="21">
        <v>29.0</v>
      </c>
      <c r="AO10" s="21" t="s">
        <v>2609</v>
      </c>
      <c r="AP10" s="21" t="s">
        <v>20</v>
      </c>
      <c r="AQ10" s="21">
        <v>190120.0</v>
      </c>
    </row>
    <row r="11">
      <c r="A11" s="21" t="s">
        <v>2607</v>
      </c>
      <c r="B11" s="21" t="s">
        <v>2133</v>
      </c>
      <c r="D11" s="12" t="s">
        <v>400</v>
      </c>
      <c r="E11" s="21" t="s">
        <v>2135</v>
      </c>
      <c r="H11" s="12" t="s">
        <v>2136</v>
      </c>
      <c r="I11" s="12" t="s">
        <v>2137</v>
      </c>
      <c r="J11" s="12">
        <v>7030.0</v>
      </c>
      <c r="K11" s="21" t="s">
        <v>2491</v>
      </c>
      <c r="L11" s="21" t="s">
        <v>2558</v>
      </c>
      <c r="S11" s="141" t="s">
        <v>2608</v>
      </c>
      <c r="T11" s="21">
        <v>1.0</v>
      </c>
      <c r="U11" s="21">
        <f t="shared" si="1"/>
        <v>0.6</v>
      </c>
      <c r="V11" s="21">
        <v>26.0</v>
      </c>
      <c r="W11" s="21">
        <v>15.0</v>
      </c>
      <c r="X11" s="21">
        <v>8.0</v>
      </c>
      <c r="Y11" s="21" t="s">
        <v>472</v>
      </c>
      <c r="AA11" s="18"/>
      <c r="AB11" s="18"/>
      <c r="AD11" s="136"/>
      <c r="AG11" s="21" t="s">
        <v>2562</v>
      </c>
      <c r="AH11" s="21" t="s">
        <v>2563</v>
      </c>
      <c r="AI11" s="21" t="s">
        <v>2563</v>
      </c>
      <c r="AK11" s="21" t="s">
        <v>2561</v>
      </c>
      <c r="AL11" s="21">
        <v>1.0</v>
      </c>
      <c r="AM11" s="21">
        <v>0.5</v>
      </c>
      <c r="AN11" s="21">
        <v>29.0</v>
      </c>
      <c r="AO11" s="21" t="s">
        <v>2609</v>
      </c>
      <c r="AP11" s="21" t="s">
        <v>20</v>
      </c>
      <c r="AQ11" s="21">
        <v>190120.0</v>
      </c>
    </row>
    <row r="12">
      <c r="A12" s="21" t="s">
        <v>2607</v>
      </c>
      <c r="B12" s="21" t="s">
        <v>2138</v>
      </c>
      <c r="D12" s="12" t="s">
        <v>2142</v>
      </c>
      <c r="E12" s="21" t="s">
        <v>2140</v>
      </c>
      <c r="H12" s="12" t="s">
        <v>2610</v>
      </c>
      <c r="I12" s="12" t="s">
        <v>2610</v>
      </c>
      <c r="J12" s="12">
        <v>6030.0</v>
      </c>
      <c r="K12" s="21" t="s">
        <v>2491</v>
      </c>
      <c r="L12" s="21" t="s">
        <v>2558</v>
      </c>
      <c r="S12" s="141" t="s">
        <v>2608</v>
      </c>
      <c r="T12" s="21">
        <v>1.0</v>
      </c>
      <c r="U12" s="21">
        <f t="shared" si="1"/>
        <v>0.6</v>
      </c>
      <c r="V12" s="21">
        <v>26.0</v>
      </c>
      <c r="W12" s="21">
        <v>15.0</v>
      </c>
      <c r="X12" s="21">
        <v>8.0</v>
      </c>
      <c r="Y12" s="21" t="s">
        <v>472</v>
      </c>
      <c r="AD12" s="136"/>
      <c r="AG12" s="21" t="s">
        <v>2562</v>
      </c>
      <c r="AH12" s="21" t="s">
        <v>2563</v>
      </c>
      <c r="AI12" s="21" t="s">
        <v>2563</v>
      </c>
      <c r="AK12" s="21" t="s">
        <v>2561</v>
      </c>
      <c r="AL12" s="21">
        <v>1.0</v>
      </c>
      <c r="AM12" s="21">
        <v>0.5</v>
      </c>
      <c r="AN12" s="21">
        <v>29.0</v>
      </c>
      <c r="AO12" s="21" t="s">
        <v>2609</v>
      </c>
      <c r="AP12" s="21" t="s">
        <v>20</v>
      </c>
      <c r="AQ12" s="21">
        <v>190120.0</v>
      </c>
    </row>
    <row r="13">
      <c r="A13" s="21" t="s">
        <v>2607</v>
      </c>
      <c r="B13" s="21" t="s">
        <v>2148</v>
      </c>
      <c r="D13" s="12" t="s">
        <v>400</v>
      </c>
      <c r="E13" s="21" t="s">
        <v>2150</v>
      </c>
      <c r="H13" s="12" t="s">
        <v>1509</v>
      </c>
      <c r="I13" s="12" t="s">
        <v>2151</v>
      </c>
      <c r="J13" s="12">
        <v>33130.0</v>
      </c>
      <c r="K13" s="21" t="s">
        <v>2491</v>
      </c>
      <c r="L13" s="21" t="s">
        <v>2558</v>
      </c>
      <c r="S13" s="141" t="s">
        <v>2608</v>
      </c>
      <c r="T13" s="21">
        <v>1.0</v>
      </c>
      <c r="U13" s="21">
        <f t="shared" si="1"/>
        <v>0.6</v>
      </c>
      <c r="V13" s="21">
        <v>26.0</v>
      </c>
      <c r="W13" s="21">
        <v>15.0</v>
      </c>
      <c r="X13" s="21">
        <v>8.0</v>
      </c>
      <c r="Y13" s="21" t="s">
        <v>472</v>
      </c>
      <c r="AA13" s="18"/>
      <c r="AB13" s="18"/>
      <c r="AD13" s="136"/>
      <c r="AG13" s="21" t="s">
        <v>2562</v>
      </c>
      <c r="AH13" s="21" t="s">
        <v>2563</v>
      </c>
      <c r="AI13" s="21" t="s">
        <v>2563</v>
      </c>
      <c r="AK13" s="21" t="s">
        <v>2561</v>
      </c>
      <c r="AL13" s="21">
        <v>1.0</v>
      </c>
      <c r="AM13" s="21">
        <v>0.5</v>
      </c>
      <c r="AN13" s="21">
        <v>29.0</v>
      </c>
      <c r="AO13" s="21" t="s">
        <v>2609</v>
      </c>
      <c r="AP13" s="21" t="s">
        <v>20</v>
      </c>
      <c r="AQ13" s="21">
        <v>190120.0</v>
      </c>
    </row>
    <row r="14">
      <c r="A14" s="21" t="s">
        <v>2607</v>
      </c>
      <c r="B14" s="21" t="s">
        <v>2182</v>
      </c>
      <c r="D14" s="12" t="s">
        <v>2142</v>
      </c>
      <c r="E14" s="21" t="s">
        <v>2611</v>
      </c>
      <c r="H14" s="12" t="s">
        <v>2036</v>
      </c>
      <c r="I14" s="20"/>
      <c r="J14" s="12">
        <v>8037.0</v>
      </c>
      <c r="K14" s="21" t="s">
        <v>2491</v>
      </c>
      <c r="L14" s="21" t="s">
        <v>2558</v>
      </c>
      <c r="S14" s="141" t="s">
        <v>2608</v>
      </c>
      <c r="T14" s="21">
        <v>1.0</v>
      </c>
      <c r="U14" s="21">
        <f t="shared" si="1"/>
        <v>1.1</v>
      </c>
      <c r="V14" s="21">
        <v>26.0</v>
      </c>
      <c r="W14" s="21">
        <v>15.0</v>
      </c>
      <c r="X14" s="21">
        <v>8.0</v>
      </c>
      <c r="Y14" s="21" t="s">
        <v>2612</v>
      </c>
      <c r="AD14" s="136"/>
      <c r="AG14" s="21" t="s">
        <v>2562</v>
      </c>
      <c r="AH14" s="21" t="s">
        <v>2563</v>
      </c>
      <c r="AI14" s="21" t="s">
        <v>2563</v>
      </c>
      <c r="AK14" s="21" t="s">
        <v>2561</v>
      </c>
      <c r="AL14" s="21">
        <v>1.0</v>
      </c>
      <c r="AM14" s="21">
        <v>1.0</v>
      </c>
      <c r="AN14" s="21">
        <v>58.0</v>
      </c>
      <c r="AO14" s="21" t="s">
        <v>2609</v>
      </c>
      <c r="AP14" s="21" t="s">
        <v>20</v>
      </c>
      <c r="AQ14" s="21">
        <v>190120.0</v>
      </c>
    </row>
    <row r="15">
      <c r="A15" s="21" t="s">
        <v>2607</v>
      </c>
      <c r="B15" s="21" t="s">
        <v>2152</v>
      </c>
      <c r="D15" s="12" t="s">
        <v>400</v>
      </c>
      <c r="E15" s="21" t="s">
        <v>2154</v>
      </c>
      <c r="H15" s="12" t="s">
        <v>2155</v>
      </c>
      <c r="I15" s="12" t="s">
        <v>722</v>
      </c>
      <c r="J15" s="12">
        <v>93105.0</v>
      </c>
      <c r="K15" s="21" t="s">
        <v>2491</v>
      </c>
      <c r="L15" s="21" t="s">
        <v>2558</v>
      </c>
      <c r="S15" s="141" t="s">
        <v>2608</v>
      </c>
      <c r="T15" s="21">
        <v>1.0</v>
      </c>
      <c r="U15" s="21">
        <f t="shared" si="1"/>
        <v>0.6</v>
      </c>
      <c r="V15" s="21">
        <v>26.0</v>
      </c>
      <c r="W15" s="21">
        <v>15.0</v>
      </c>
      <c r="X15" s="21">
        <v>8.0</v>
      </c>
      <c r="Y15" s="21" t="s">
        <v>472</v>
      </c>
      <c r="AA15" s="18"/>
      <c r="AB15" s="18"/>
      <c r="AD15" s="136"/>
      <c r="AG15" s="21" t="s">
        <v>2562</v>
      </c>
      <c r="AH15" s="21" t="s">
        <v>2563</v>
      </c>
      <c r="AI15" s="21" t="s">
        <v>2563</v>
      </c>
      <c r="AK15" s="21" t="s">
        <v>2561</v>
      </c>
      <c r="AL15" s="21">
        <v>1.0</v>
      </c>
      <c r="AM15" s="21">
        <v>0.5</v>
      </c>
      <c r="AN15" s="21">
        <v>29.0</v>
      </c>
      <c r="AO15" s="21" t="s">
        <v>2609</v>
      </c>
      <c r="AP15" s="21" t="s">
        <v>20</v>
      </c>
      <c r="AQ15" s="21">
        <v>190120.0</v>
      </c>
    </row>
    <row r="16">
      <c r="M16" s="137"/>
      <c r="N16" s="137"/>
      <c r="Q16" s="137"/>
      <c r="R16" s="137"/>
      <c r="S16" s="137"/>
    </row>
    <row r="17">
      <c r="M17" s="137"/>
      <c r="N17" s="137"/>
      <c r="Q17" s="137"/>
      <c r="R17" s="137"/>
      <c r="S17" s="137"/>
    </row>
    <row r="18">
      <c r="M18" s="137"/>
      <c r="N18" s="137"/>
      <c r="Q18" s="137"/>
      <c r="R18" s="137"/>
      <c r="S18" s="137"/>
    </row>
    <row r="19">
      <c r="M19" s="137"/>
      <c r="N19" s="137"/>
      <c r="Q19" s="137"/>
      <c r="R19" s="137"/>
      <c r="S19" s="137"/>
    </row>
    <row r="20">
      <c r="M20" s="137"/>
      <c r="N20" s="137"/>
      <c r="Q20" s="137"/>
      <c r="R20" s="137"/>
      <c r="S20" s="137"/>
    </row>
    <row r="21">
      <c r="M21" s="137"/>
      <c r="N21" s="137"/>
      <c r="Q21" s="137"/>
      <c r="R21" s="137"/>
      <c r="S21" s="137"/>
    </row>
    <row r="22">
      <c r="M22" s="137"/>
      <c r="N22" s="137"/>
      <c r="Q22" s="137"/>
      <c r="R22" s="137"/>
      <c r="S22" s="137"/>
    </row>
    <row r="23">
      <c r="M23" s="137"/>
      <c r="N23" s="137"/>
      <c r="Q23" s="137"/>
      <c r="R23" s="137"/>
      <c r="S23" s="137"/>
    </row>
    <row r="24">
      <c r="M24" s="137"/>
      <c r="N24" s="137"/>
      <c r="Q24" s="137"/>
      <c r="R24" s="137"/>
      <c r="S24" s="137"/>
    </row>
    <row r="25">
      <c r="M25" s="137"/>
      <c r="N25" s="137"/>
      <c r="Q25" s="137"/>
      <c r="R25" s="137"/>
      <c r="S25" s="137"/>
    </row>
    <row r="26">
      <c r="M26" s="137"/>
      <c r="N26" s="137"/>
      <c r="Q26" s="137"/>
      <c r="R26" s="137"/>
      <c r="S26" s="137"/>
    </row>
    <row r="27">
      <c r="M27" s="137"/>
      <c r="N27" s="137"/>
      <c r="Q27" s="137"/>
      <c r="R27" s="137"/>
      <c r="S27" s="137"/>
    </row>
    <row r="28">
      <c r="M28" s="137"/>
      <c r="N28" s="137"/>
      <c r="Q28" s="137"/>
      <c r="R28" s="137"/>
      <c r="S28" s="137"/>
    </row>
    <row r="29">
      <c r="M29" s="137"/>
      <c r="N29" s="137"/>
      <c r="Q29" s="137"/>
      <c r="R29" s="137"/>
      <c r="S29" s="137"/>
    </row>
    <row r="30">
      <c r="M30" s="137"/>
      <c r="N30" s="137"/>
      <c r="Q30" s="137"/>
      <c r="R30" s="137"/>
      <c r="S30" s="137"/>
    </row>
    <row r="31">
      <c r="M31" s="137"/>
      <c r="N31" s="137"/>
      <c r="Q31" s="137"/>
      <c r="R31" s="137"/>
      <c r="S31" s="137"/>
    </row>
    <row r="32">
      <c r="M32" s="137"/>
      <c r="N32" s="137"/>
      <c r="Q32" s="137"/>
      <c r="R32" s="137"/>
      <c r="S32" s="137"/>
    </row>
    <row r="33">
      <c r="M33" s="137"/>
      <c r="N33" s="137"/>
      <c r="Q33" s="137"/>
      <c r="R33" s="137"/>
      <c r="S33" s="137"/>
    </row>
    <row r="34">
      <c r="M34" s="137"/>
      <c r="N34" s="137"/>
      <c r="Q34" s="137"/>
      <c r="R34" s="137"/>
      <c r="S34" s="137"/>
    </row>
    <row r="35">
      <c r="M35" s="137"/>
      <c r="N35" s="137"/>
      <c r="Q35" s="137"/>
      <c r="R35" s="137"/>
      <c r="S35" s="137"/>
    </row>
    <row r="36">
      <c r="M36" s="137"/>
      <c r="N36" s="137"/>
      <c r="Q36" s="137"/>
      <c r="R36" s="137"/>
      <c r="S36" s="137"/>
    </row>
    <row r="37">
      <c r="M37" s="137"/>
      <c r="N37" s="137"/>
      <c r="Q37" s="137"/>
      <c r="R37" s="137"/>
      <c r="S37" s="137"/>
    </row>
    <row r="38">
      <c r="M38" s="137"/>
      <c r="N38" s="137"/>
      <c r="Q38" s="137"/>
      <c r="R38" s="137"/>
      <c r="S38" s="137"/>
    </row>
    <row r="39">
      <c r="M39" s="137"/>
      <c r="N39" s="137"/>
      <c r="Q39" s="137"/>
      <c r="R39" s="137"/>
      <c r="S39" s="137"/>
    </row>
    <row r="40">
      <c r="M40" s="137"/>
      <c r="N40" s="137"/>
      <c r="Q40" s="137"/>
      <c r="R40" s="137"/>
      <c r="S40" s="137"/>
    </row>
    <row r="41">
      <c r="M41" s="137"/>
      <c r="N41" s="137"/>
      <c r="Q41" s="137"/>
      <c r="R41" s="137"/>
      <c r="S41" s="137"/>
    </row>
    <row r="42">
      <c r="M42" s="137"/>
      <c r="N42" s="137"/>
      <c r="Q42" s="137"/>
      <c r="R42" s="137"/>
      <c r="S42" s="137"/>
    </row>
    <row r="43">
      <c r="M43" s="137"/>
      <c r="N43" s="137"/>
      <c r="Q43" s="137"/>
      <c r="R43" s="137"/>
      <c r="S43" s="137"/>
    </row>
    <row r="44">
      <c r="M44" s="137"/>
      <c r="N44" s="137"/>
      <c r="Q44" s="137"/>
      <c r="R44" s="137"/>
      <c r="S44" s="137"/>
    </row>
    <row r="45">
      <c r="M45" s="137"/>
      <c r="N45" s="137"/>
      <c r="Q45" s="137"/>
      <c r="R45" s="137"/>
      <c r="S45" s="137"/>
    </row>
    <row r="46">
      <c r="M46" s="137"/>
      <c r="N46" s="137"/>
      <c r="Q46" s="137"/>
      <c r="R46" s="137"/>
      <c r="S46" s="137"/>
    </row>
    <row r="47">
      <c r="M47" s="137"/>
      <c r="N47" s="137"/>
      <c r="Q47" s="137"/>
      <c r="R47" s="137"/>
      <c r="S47" s="137"/>
    </row>
    <row r="48">
      <c r="M48" s="137"/>
      <c r="N48" s="137"/>
      <c r="Q48" s="137"/>
      <c r="R48" s="137"/>
      <c r="S48" s="137"/>
    </row>
    <row r="49">
      <c r="M49" s="137"/>
      <c r="N49" s="137"/>
      <c r="Q49" s="137"/>
      <c r="R49" s="137"/>
      <c r="S49" s="137"/>
    </row>
    <row r="50">
      <c r="M50" s="137"/>
      <c r="N50" s="137"/>
      <c r="Q50" s="137"/>
      <c r="R50" s="137"/>
      <c r="S50" s="137"/>
    </row>
    <row r="51">
      <c r="M51" s="137"/>
      <c r="N51" s="137"/>
      <c r="Q51" s="137"/>
      <c r="R51" s="137"/>
      <c r="S51" s="137"/>
    </row>
    <row r="52">
      <c r="M52" s="137"/>
      <c r="N52" s="137"/>
      <c r="Q52" s="137"/>
      <c r="R52" s="137"/>
      <c r="S52" s="137"/>
    </row>
    <row r="53">
      <c r="M53" s="137"/>
      <c r="N53" s="137"/>
      <c r="Q53" s="137"/>
      <c r="R53" s="137"/>
      <c r="S53" s="137"/>
    </row>
    <row r="54">
      <c r="M54" s="137"/>
      <c r="N54" s="137"/>
      <c r="Q54" s="137"/>
      <c r="R54" s="137"/>
      <c r="S54" s="137"/>
    </row>
    <row r="55">
      <c r="M55" s="137"/>
      <c r="N55" s="137"/>
      <c r="Q55" s="137"/>
      <c r="R55" s="137"/>
      <c r="S55" s="137"/>
    </row>
    <row r="56">
      <c r="M56" s="137"/>
      <c r="N56" s="137"/>
      <c r="Q56" s="137"/>
      <c r="R56" s="137"/>
      <c r="S56" s="137"/>
    </row>
    <row r="57">
      <c r="M57" s="137"/>
      <c r="N57" s="137"/>
      <c r="Q57" s="137"/>
      <c r="R57" s="137"/>
      <c r="S57" s="137"/>
    </row>
    <row r="58">
      <c r="M58" s="137"/>
      <c r="N58" s="137"/>
      <c r="Q58" s="137"/>
      <c r="R58" s="137"/>
      <c r="S58" s="137"/>
    </row>
    <row r="59">
      <c r="M59" s="137"/>
      <c r="N59" s="137"/>
      <c r="Q59" s="137"/>
      <c r="R59" s="137"/>
      <c r="S59" s="137"/>
    </row>
    <row r="60">
      <c r="M60" s="137"/>
      <c r="N60" s="137"/>
      <c r="Q60" s="137"/>
      <c r="R60" s="137"/>
      <c r="S60" s="137"/>
    </row>
    <row r="61">
      <c r="M61" s="137"/>
      <c r="N61" s="137"/>
      <c r="Q61" s="137"/>
      <c r="R61" s="137"/>
      <c r="S61" s="137"/>
    </row>
    <row r="62">
      <c r="M62" s="137"/>
      <c r="N62" s="137"/>
      <c r="Q62" s="137"/>
      <c r="R62" s="137"/>
      <c r="S62" s="137"/>
    </row>
    <row r="63">
      <c r="M63" s="137"/>
      <c r="N63" s="137"/>
      <c r="Q63" s="137"/>
      <c r="R63" s="137"/>
      <c r="S63" s="137"/>
    </row>
    <row r="64">
      <c r="M64" s="137"/>
      <c r="N64" s="137"/>
      <c r="Q64" s="137"/>
      <c r="R64" s="137"/>
      <c r="S64" s="137"/>
    </row>
    <row r="65">
      <c r="M65" s="137"/>
      <c r="N65" s="137"/>
      <c r="Q65" s="137"/>
      <c r="R65" s="137"/>
      <c r="S65" s="137"/>
    </row>
    <row r="66">
      <c r="M66" s="137"/>
      <c r="N66" s="137"/>
      <c r="Q66" s="137"/>
      <c r="R66" s="137"/>
      <c r="S66" s="137"/>
    </row>
    <row r="67">
      <c r="M67" s="137"/>
      <c r="N67" s="137"/>
      <c r="Q67" s="137"/>
      <c r="R67" s="137"/>
      <c r="S67" s="137"/>
    </row>
    <row r="68">
      <c r="M68" s="137"/>
      <c r="N68" s="137"/>
      <c r="Q68" s="137"/>
      <c r="R68" s="137"/>
      <c r="S68" s="137"/>
    </row>
    <row r="69">
      <c r="M69" s="137"/>
      <c r="N69" s="137"/>
      <c r="Q69" s="137"/>
      <c r="R69" s="137"/>
      <c r="S69" s="137"/>
    </row>
    <row r="70">
      <c r="M70" s="137"/>
      <c r="N70" s="137"/>
      <c r="Q70" s="137"/>
      <c r="R70" s="137"/>
      <c r="S70" s="137"/>
    </row>
    <row r="71">
      <c r="M71" s="137"/>
      <c r="N71" s="137"/>
      <c r="Q71" s="137"/>
      <c r="R71" s="137"/>
      <c r="S71" s="137"/>
    </row>
    <row r="72">
      <c r="M72" s="137"/>
      <c r="N72" s="137"/>
      <c r="Q72" s="137"/>
      <c r="R72" s="137"/>
      <c r="S72" s="137"/>
    </row>
    <row r="73">
      <c r="M73" s="137"/>
      <c r="N73" s="137"/>
      <c r="Q73" s="137"/>
      <c r="R73" s="137"/>
      <c r="S73" s="137"/>
    </row>
    <row r="74">
      <c r="M74" s="137"/>
      <c r="N74" s="137"/>
      <c r="Q74" s="137"/>
      <c r="R74" s="137"/>
      <c r="S74" s="137"/>
    </row>
    <row r="75">
      <c r="M75" s="137"/>
      <c r="N75" s="137"/>
      <c r="Q75" s="137"/>
      <c r="R75" s="137"/>
      <c r="S75" s="137"/>
    </row>
    <row r="76">
      <c r="M76" s="137"/>
      <c r="N76" s="137"/>
      <c r="Q76" s="137"/>
      <c r="R76" s="137"/>
      <c r="S76" s="137"/>
    </row>
    <row r="77">
      <c r="M77" s="137"/>
      <c r="N77" s="137"/>
      <c r="Q77" s="137"/>
      <c r="R77" s="137"/>
      <c r="S77" s="137"/>
    </row>
    <row r="78">
      <c r="M78" s="137"/>
      <c r="N78" s="137"/>
      <c r="Q78" s="137"/>
      <c r="R78" s="137"/>
      <c r="S78" s="137"/>
    </row>
    <row r="79">
      <c r="M79" s="137"/>
      <c r="N79" s="137"/>
      <c r="Q79" s="137"/>
      <c r="R79" s="137"/>
      <c r="S79" s="137"/>
    </row>
    <row r="80">
      <c r="M80" s="137"/>
      <c r="N80" s="137"/>
      <c r="Q80" s="137"/>
      <c r="R80" s="137"/>
      <c r="S80" s="137"/>
    </row>
    <row r="81">
      <c r="M81" s="137"/>
      <c r="N81" s="137"/>
      <c r="Q81" s="137"/>
      <c r="R81" s="137"/>
      <c r="S81" s="137"/>
    </row>
    <row r="82">
      <c r="M82" s="137"/>
      <c r="N82" s="137"/>
      <c r="Q82" s="137"/>
      <c r="R82" s="137"/>
      <c r="S82" s="137"/>
    </row>
    <row r="83">
      <c r="M83" s="137"/>
      <c r="N83" s="137"/>
      <c r="Q83" s="137"/>
      <c r="R83" s="137"/>
      <c r="S83" s="137"/>
    </row>
    <row r="84">
      <c r="M84" s="137"/>
      <c r="N84" s="137"/>
      <c r="Q84" s="137"/>
      <c r="R84" s="137"/>
      <c r="S84" s="137"/>
    </row>
    <row r="85">
      <c r="M85" s="137"/>
      <c r="N85" s="137"/>
      <c r="Q85" s="137"/>
      <c r="R85" s="137"/>
      <c r="S85" s="137"/>
    </row>
    <row r="86">
      <c r="M86" s="137"/>
      <c r="N86" s="137"/>
      <c r="Q86" s="137"/>
      <c r="R86" s="137"/>
      <c r="S86" s="137"/>
    </row>
    <row r="87">
      <c r="M87" s="137"/>
      <c r="N87" s="137"/>
      <c r="Q87" s="137"/>
      <c r="R87" s="137"/>
      <c r="S87" s="137"/>
    </row>
    <row r="88">
      <c r="M88" s="137"/>
      <c r="N88" s="137"/>
      <c r="Q88" s="137"/>
      <c r="R88" s="137"/>
      <c r="S88" s="137"/>
    </row>
    <row r="89">
      <c r="M89" s="137"/>
      <c r="N89" s="137"/>
      <c r="Q89" s="137"/>
      <c r="R89" s="137"/>
      <c r="S89" s="137"/>
    </row>
    <row r="90">
      <c r="M90" s="137"/>
      <c r="N90" s="137"/>
      <c r="Q90" s="137"/>
      <c r="R90" s="137"/>
      <c r="S90" s="137"/>
    </row>
    <row r="91">
      <c r="M91" s="137"/>
      <c r="N91" s="137"/>
      <c r="Q91" s="137"/>
      <c r="R91" s="137"/>
      <c r="S91" s="137"/>
    </row>
    <row r="92">
      <c r="M92" s="137"/>
      <c r="N92" s="137"/>
      <c r="Q92" s="137"/>
      <c r="R92" s="137"/>
      <c r="S92" s="137"/>
    </row>
    <row r="93">
      <c r="M93" s="137"/>
      <c r="N93" s="137"/>
      <c r="Q93" s="137"/>
      <c r="R93" s="137"/>
      <c r="S93" s="137"/>
    </row>
    <row r="94">
      <c r="M94" s="137"/>
      <c r="N94" s="137"/>
      <c r="Q94" s="137"/>
      <c r="R94" s="137"/>
      <c r="S94" s="137"/>
    </row>
    <row r="95">
      <c r="M95" s="137"/>
      <c r="N95" s="137"/>
      <c r="Q95" s="137"/>
      <c r="R95" s="137"/>
      <c r="S95" s="137"/>
    </row>
    <row r="96">
      <c r="M96" s="137"/>
      <c r="N96" s="137"/>
      <c r="Q96" s="137"/>
      <c r="R96" s="137"/>
      <c r="S96" s="137"/>
    </row>
    <row r="97">
      <c r="M97" s="137"/>
      <c r="N97" s="137"/>
      <c r="Q97" s="137"/>
      <c r="R97" s="137"/>
      <c r="S97" s="137"/>
    </row>
    <row r="98">
      <c r="M98" s="137"/>
      <c r="N98" s="137"/>
      <c r="Q98" s="137"/>
      <c r="R98" s="137"/>
      <c r="S98" s="137"/>
    </row>
    <row r="99">
      <c r="M99" s="137"/>
      <c r="N99" s="137"/>
      <c r="Q99" s="137"/>
      <c r="R99" s="137"/>
      <c r="S99" s="137"/>
    </row>
    <row r="100">
      <c r="M100" s="137"/>
      <c r="N100" s="137"/>
      <c r="Q100" s="137"/>
      <c r="R100" s="137"/>
      <c r="S100" s="137"/>
    </row>
    <row r="101">
      <c r="M101" s="137"/>
      <c r="N101" s="137"/>
      <c r="Q101" s="137"/>
      <c r="R101" s="137"/>
      <c r="S101" s="137"/>
    </row>
    <row r="102">
      <c r="M102" s="137"/>
      <c r="N102" s="137"/>
      <c r="Q102" s="137"/>
      <c r="R102" s="137"/>
      <c r="S102" s="137"/>
    </row>
    <row r="103">
      <c r="M103" s="137"/>
      <c r="N103" s="137"/>
      <c r="Q103" s="137"/>
      <c r="R103" s="137"/>
      <c r="S103" s="137"/>
    </row>
    <row r="104">
      <c r="M104" s="137"/>
      <c r="N104" s="137"/>
      <c r="Q104" s="137"/>
      <c r="R104" s="137"/>
      <c r="S104" s="137"/>
    </row>
    <row r="105">
      <c r="M105" s="137"/>
      <c r="N105" s="137"/>
      <c r="Q105" s="137"/>
      <c r="R105" s="137"/>
      <c r="S105" s="137"/>
    </row>
    <row r="106">
      <c r="M106" s="137"/>
      <c r="N106" s="137"/>
      <c r="Q106" s="137"/>
      <c r="R106" s="137"/>
      <c r="S106" s="137"/>
    </row>
    <row r="107">
      <c r="M107" s="137"/>
      <c r="N107" s="137"/>
      <c r="Q107" s="137"/>
      <c r="R107" s="137"/>
      <c r="S107" s="137"/>
    </row>
    <row r="108">
      <c r="M108" s="137"/>
      <c r="N108" s="137"/>
      <c r="Q108" s="137"/>
      <c r="R108" s="137"/>
      <c r="S108" s="137"/>
    </row>
    <row r="109">
      <c r="M109" s="137"/>
      <c r="N109" s="137"/>
      <c r="Q109" s="137"/>
      <c r="R109" s="137"/>
      <c r="S109" s="137"/>
    </row>
    <row r="110">
      <c r="M110" s="137"/>
      <c r="N110" s="137"/>
      <c r="Q110" s="137"/>
      <c r="R110" s="137"/>
      <c r="S110" s="137"/>
    </row>
    <row r="111">
      <c r="M111" s="137"/>
      <c r="N111" s="137"/>
      <c r="Q111" s="137"/>
      <c r="R111" s="137"/>
      <c r="S111" s="137"/>
    </row>
    <row r="112">
      <c r="M112" s="137"/>
      <c r="N112" s="137"/>
      <c r="Q112" s="137"/>
      <c r="R112" s="137"/>
      <c r="S112" s="137"/>
    </row>
    <row r="113">
      <c r="M113" s="137"/>
      <c r="N113" s="137"/>
      <c r="Q113" s="137"/>
      <c r="R113" s="137"/>
      <c r="S113" s="137"/>
    </row>
    <row r="114">
      <c r="M114" s="137"/>
      <c r="N114" s="137"/>
      <c r="Q114" s="137"/>
      <c r="R114" s="137"/>
      <c r="S114" s="137"/>
    </row>
    <row r="115">
      <c r="M115" s="137"/>
      <c r="N115" s="137"/>
      <c r="Q115" s="137"/>
      <c r="R115" s="137"/>
      <c r="S115" s="137"/>
    </row>
    <row r="116">
      <c r="M116" s="137"/>
      <c r="N116" s="137"/>
      <c r="Q116" s="137"/>
      <c r="R116" s="137"/>
      <c r="S116" s="137"/>
    </row>
    <row r="117">
      <c r="M117" s="137"/>
      <c r="N117" s="137"/>
      <c r="Q117" s="137"/>
      <c r="R117" s="137"/>
      <c r="S117" s="137"/>
    </row>
    <row r="118">
      <c r="M118" s="137"/>
      <c r="N118" s="137"/>
      <c r="Q118" s="137"/>
      <c r="R118" s="137"/>
      <c r="S118" s="137"/>
    </row>
    <row r="119">
      <c r="M119" s="137"/>
      <c r="N119" s="137"/>
      <c r="Q119" s="137"/>
      <c r="R119" s="137"/>
      <c r="S119" s="137"/>
    </row>
    <row r="120">
      <c r="M120" s="137"/>
      <c r="N120" s="137"/>
      <c r="Q120" s="137"/>
      <c r="R120" s="137"/>
      <c r="S120" s="137"/>
    </row>
    <row r="121">
      <c r="M121" s="137"/>
      <c r="N121" s="137"/>
      <c r="Q121" s="137"/>
      <c r="R121" s="137"/>
      <c r="S121" s="137"/>
    </row>
    <row r="122">
      <c r="M122" s="137"/>
      <c r="N122" s="137"/>
      <c r="Q122" s="137"/>
      <c r="R122" s="137"/>
      <c r="S122" s="137"/>
    </row>
    <row r="123">
      <c r="M123" s="137"/>
      <c r="N123" s="137"/>
      <c r="Q123" s="137"/>
      <c r="R123" s="137"/>
      <c r="S123" s="137"/>
    </row>
    <row r="124">
      <c r="M124" s="137"/>
      <c r="N124" s="137"/>
      <c r="Q124" s="137"/>
      <c r="R124" s="137"/>
      <c r="S124" s="137"/>
    </row>
    <row r="125">
      <c r="M125" s="137"/>
      <c r="N125" s="137"/>
      <c r="Q125" s="137"/>
      <c r="R125" s="137"/>
      <c r="S125" s="137"/>
    </row>
    <row r="126">
      <c r="M126" s="137"/>
      <c r="N126" s="137"/>
      <c r="Q126" s="137"/>
      <c r="R126" s="137"/>
      <c r="S126" s="137"/>
    </row>
    <row r="127">
      <c r="M127" s="137"/>
      <c r="N127" s="137"/>
      <c r="Q127" s="137"/>
      <c r="R127" s="137"/>
      <c r="S127" s="137"/>
    </row>
    <row r="128">
      <c r="M128" s="137"/>
      <c r="N128" s="137"/>
      <c r="Q128" s="137"/>
      <c r="R128" s="137"/>
      <c r="S128" s="137"/>
    </row>
    <row r="129">
      <c r="M129" s="137"/>
      <c r="N129" s="137"/>
      <c r="Q129" s="137"/>
      <c r="R129" s="137"/>
      <c r="S129" s="137"/>
    </row>
    <row r="130">
      <c r="M130" s="137"/>
      <c r="N130" s="137"/>
      <c r="Q130" s="137"/>
      <c r="R130" s="137"/>
      <c r="S130" s="137"/>
    </row>
    <row r="131">
      <c r="M131" s="137"/>
      <c r="N131" s="137"/>
      <c r="Q131" s="137"/>
      <c r="R131" s="137"/>
      <c r="S131" s="137"/>
    </row>
    <row r="132">
      <c r="M132" s="137"/>
      <c r="N132" s="137"/>
      <c r="Q132" s="137"/>
      <c r="R132" s="137"/>
      <c r="S132" s="137"/>
    </row>
    <row r="133">
      <c r="M133" s="137"/>
      <c r="N133" s="137"/>
      <c r="Q133" s="137"/>
      <c r="R133" s="137"/>
      <c r="S133" s="137"/>
    </row>
    <row r="134">
      <c r="M134" s="137"/>
      <c r="N134" s="137"/>
      <c r="Q134" s="137"/>
      <c r="R134" s="137"/>
      <c r="S134" s="137"/>
    </row>
    <row r="135">
      <c r="M135" s="137"/>
      <c r="N135" s="137"/>
      <c r="Q135" s="137"/>
      <c r="R135" s="137"/>
      <c r="S135" s="137"/>
    </row>
    <row r="136">
      <c r="M136" s="137"/>
      <c r="N136" s="137"/>
      <c r="Q136" s="137"/>
      <c r="R136" s="137"/>
      <c r="S136" s="137"/>
    </row>
    <row r="137">
      <c r="M137" s="137"/>
      <c r="N137" s="137"/>
      <c r="Q137" s="137"/>
      <c r="R137" s="137"/>
      <c r="S137" s="137"/>
    </row>
    <row r="138">
      <c r="M138" s="137"/>
      <c r="N138" s="137"/>
      <c r="Q138" s="137"/>
      <c r="R138" s="137"/>
      <c r="S138" s="137"/>
    </row>
    <row r="139">
      <c r="M139" s="137"/>
      <c r="N139" s="137"/>
      <c r="Q139" s="137"/>
      <c r="R139" s="137"/>
      <c r="S139" s="137"/>
    </row>
    <row r="140">
      <c r="M140" s="137"/>
      <c r="N140" s="137"/>
      <c r="Q140" s="137"/>
      <c r="R140" s="137"/>
      <c r="S140" s="137"/>
    </row>
    <row r="141">
      <c r="M141" s="137"/>
      <c r="N141" s="137"/>
      <c r="Q141" s="137"/>
      <c r="R141" s="137"/>
      <c r="S141" s="137"/>
    </row>
    <row r="142">
      <c r="M142" s="137"/>
      <c r="N142" s="137"/>
      <c r="Q142" s="137"/>
      <c r="R142" s="137"/>
      <c r="S142" s="137"/>
    </row>
    <row r="143">
      <c r="M143" s="137"/>
      <c r="N143" s="137"/>
      <c r="Q143" s="137"/>
      <c r="R143" s="137"/>
      <c r="S143" s="137"/>
    </row>
    <row r="144">
      <c r="M144" s="137"/>
      <c r="N144" s="137"/>
      <c r="Q144" s="137"/>
      <c r="R144" s="137"/>
      <c r="S144" s="137"/>
    </row>
    <row r="145">
      <c r="M145" s="137"/>
      <c r="N145" s="137"/>
      <c r="Q145" s="137"/>
      <c r="R145" s="137"/>
      <c r="S145" s="137"/>
    </row>
    <row r="146">
      <c r="M146" s="137"/>
      <c r="N146" s="137"/>
      <c r="Q146" s="137"/>
      <c r="R146" s="137"/>
      <c r="S146" s="137"/>
    </row>
    <row r="147">
      <c r="M147" s="137"/>
      <c r="N147" s="137"/>
      <c r="Q147" s="137"/>
      <c r="R147" s="137"/>
      <c r="S147" s="137"/>
    </row>
    <row r="148">
      <c r="M148" s="137"/>
      <c r="N148" s="137"/>
      <c r="Q148" s="137"/>
      <c r="R148" s="137"/>
      <c r="S148" s="137"/>
    </row>
    <row r="149">
      <c r="M149" s="137"/>
      <c r="N149" s="137"/>
      <c r="Q149" s="137"/>
      <c r="R149" s="137"/>
      <c r="S149" s="137"/>
    </row>
    <row r="150">
      <c r="M150" s="137"/>
      <c r="N150" s="137"/>
      <c r="Q150" s="137"/>
      <c r="R150" s="137"/>
      <c r="S150" s="137"/>
    </row>
    <row r="151">
      <c r="M151" s="137"/>
      <c r="N151" s="137"/>
      <c r="Q151" s="137"/>
      <c r="R151" s="137"/>
      <c r="S151" s="137"/>
    </row>
    <row r="152">
      <c r="M152" s="137"/>
      <c r="N152" s="137"/>
      <c r="Q152" s="137"/>
      <c r="R152" s="137"/>
      <c r="S152" s="137"/>
    </row>
    <row r="153">
      <c r="M153" s="137"/>
      <c r="N153" s="137"/>
      <c r="Q153" s="137"/>
      <c r="R153" s="137"/>
      <c r="S153" s="137"/>
    </row>
    <row r="154">
      <c r="M154" s="137"/>
      <c r="N154" s="137"/>
      <c r="Q154" s="137"/>
      <c r="R154" s="137"/>
      <c r="S154" s="137"/>
    </row>
    <row r="155">
      <c r="M155" s="137"/>
      <c r="N155" s="137"/>
      <c r="Q155" s="137"/>
      <c r="R155" s="137"/>
      <c r="S155" s="137"/>
    </row>
    <row r="156">
      <c r="M156" s="137"/>
      <c r="N156" s="137"/>
      <c r="Q156" s="137"/>
      <c r="R156" s="137"/>
      <c r="S156" s="137"/>
    </row>
    <row r="157">
      <c r="M157" s="137"/>
      <c r="N157" s="137"/>
      <c r="Q157" s="137"/>
      <c r="R157" s="137"/>
      <c r="S157" s="137"/>
    </row>
    <row r="158">
      <c r="M158" s="137"/>
      <c r="N158" s="137"/>
      <c r="Q158" s="137"/>
      <c r="R158" s="137"/>
      <c r="S158" s="137"/>
    </row>
    <row r="159">
      <c r="M159" s="137"/>
      <c r="N159" s="137"/>
      <c r="Q159" s="137"/>
      <c r="R159" s="137"/>
      <c r="S159" s="137"/>
    </row>
    <row r="160">
      <c r="M160" s="137"/>
      <c r="N160" s="137"/>
      <c r="Q160" s="137"/>
      <c r="R160" s="137"/>
      <c r="S160" s="137"/>
    </row>
    <row r="161">
      <c r="M161" s="137"/>
      <c r="N161" s="137"/>
      <c r="Q161" s="137"/>
      <c r="R161" s="137"/>
      <c r="S161" s="137"/>
    </row>
    <row r="162">
      <c r="M162" s="137"/>
      <c r="N162" s="137"/>
      <c r="Q162" s="137"/>
      <c r="R162" s="137"/>
      <c r="S162" s="137"/>
    </row>
    <row r="163">
      <c r="M163" s="137"/>
      <c r="N163" s="137"/>
      <c r="Q163" s="137"/>
      <c r="R163" s="137"/>
      <c r="S163" s="137"/>
    </row>
    <row r="164">
      <c r="M164" s="137"/>
      <c r="N164" s="137"/>
      <c r="Q164" s="137"/>
      <c r="R164" s="137"/>
      <c r="S164" s="137"/>
    </row>
    <row r="165">
      <c r="M165" s="137"/>
      <c r="N165" s="137"/>
      <c r="Q165" s="137"/>
      <c r="R165" s="137"/>
      <c r="S165" s="137"/>
    </row>
    <row r="166">
      <c r="M166" s="137"/>
      <c r="N166" s="137"/>
      <c r="Q166" s="137"/>
      <c r="R166" s="137"/>
      <c r="S166" s="137"/>
    </row>
    <row r="167">
      <c r="M167" s="137"/>
      <c r="N167" s="137"/>
      <c r="Q167" s="137"/>
      <c r="R167" s="137"/>
      <c r="S167" s="137"/>
    </row>
    <row r="168">
      <c r="M168" s="137"/>
      <c r="N168" s="137"/>
      <c r="Q168" s="137"/>
      <c r="R168" s="137"/>
      <c r="S168" s="137"/>
    </row>
    <row r="169">
      <c r="M169" s="137"/>
      <c r="N169" s="137"/>
      <c r="Q169" s="137"/>
      <c r="R169" s="137"/>
      <c r="S169" s="137"/>
    </row>
    <row r="170">
      <c r="M170" s="137"/>
      <c r="N170" s="137"/>
      <c r="Q170" s="137"/>
      <c r="R170" s="137"/>
      <c r="S170" s="137"/>
    </row>
    <row r="171">
      <c r="M171" s="137"/>
      <c r="N171" s="137"/>
      <c r="Q171" s="137"/>
      <c r="R171" s="137"/>
      <c r="S171" s="137"/>
    </row>
    <row r="172">
      <c r="M172" s="137"/>
      <c r="N172" s="137"/>
      <c r="Q172" s="137"/>
      <c r="R172" s="137"/>
      <c r="S172" s="137"/>
    </row>
    <row r="173">
      <c r="M173" s="137"/>
      <c r="N173" s="137"/>
      <c r="Q173" s="137"/>
      <c r="R173" s="137"/>
      <c r="S173" s="137"/>
    </row>
    <row r="174">
      <c r="M174" s="137"/>
      <c r="N174" s="137"/>
      <c r="Q174" s="137"/>
      <c r="R174" s="137"/>
      <c r="S174" s="137"/>
    </row>
    <row r="175">
      <c r="M175" s="137"/>
      <c r="N175" s="137"/>
      <c r="Q175" s="137"/>
      <c r="R175" s="137"/>
      <c r="S175" s="137"/>
    </row>
    <row r="176">
      <c r="M176" s="137"/>
      <c r="N176" s="137"/>
      <c r="Q176" s="137"/>
      <c r="R176" s="137"/>
      <c r="S176" s="137"/>
    </row>
    <row r="177">
      <c r="M177" s="137"/>
      <c r="N177" s="137"/>
      <c r="Q177" s="137"/>
      <c r="R177" s="137"/>
      <c r="S177" s="137"/>
    </row>
    <row r="178">
      <c r="M178" s="137"/>
      <c r="N178" s="137"/>
      <c r="Q178" s="137"/>
      <c r="R178" s="137"/>
      <c r="S178" s="137"/>
    </row>
    <row r="179">
      <c r="M179" s="137"/>
      <c r="N179" s="137"/>
      <c r="Q179" s="137"/>
      <c r="R179" s="137"/>
      <c r="S179" s="137"/>
    </row>
    <row r="180">
      <c r="M180" s="137"/>
      <c r="N180" s="137"/>
      <c r="Q180" s="137"/>
      <c r="R180" s="137"/>
      <c r="S180" s="137"/>
    </row>
    <row r="181">
      <c r="M181" s="137"/>
      <c r="N181" s="137"/>
      <c r="Q181" s="137"/>
      <c r="R181" s="137"/>
      <c r="S181" s="137"/>
    </row>
    <row r="182">
      <c r="M182" s="137"/>
      <c r="N182" s="137"/>
      <c r="Q182" s="137"/>
      <c r="R182" s="137"/>
      <c r="S182" s="137"/>
    </row>
    <row r="183">
      <c r="M183" s="137"/>
      <c r="N183" s="137"/>
      <c r="Q183" s="137"/>
      <c r="R183" s="137"/>
      <c r="S183" s="137"/>
    </row>
    <row r="184">
      <c r="M184" s="137"/>
      <c r="N184" s="137"/>
      <c r="Q184" s="137"/>
      <c r="R184" s="137"/>
      <c r="S184" s="137"/>
    </row>
    <row r="185">
      <c r="M185" s="137"/>
      <c r="N185" s="137"/>
      <c r="Q185" s="137"/>
      <c r="R185" s="137"/>
      <c r="S185" s="137"/>
    </row>
    <row r="186">
      <c r="M186" s="137"/>
      <c r="N186" s="137"/>
      <c r="Q186" s="137"/>
      <c r="R186" s="137"/>
      <c r="S186" s="137"/>
    </row>
    <row r="187">
      <c r="M187" s="137"/>
      <c r="N187" s="137"/>
      <c r="Q187" s="137"/>
      <c r="R187" s="137"/>
      <c r="S187" s="137"/>
    </row>
    <row r="188">
      <c r="M188" s="137"/>
      <c r="N188" s="137"/>
      <c r="Q188" s="137"/>
      <c r="R188" s="137"/>
      <c r="S188" s="137"/>
    </row>
    <row r="189">
      <c r="M189" s="137"/>
      <c r="N189" s="137"/>
      <c r="Q189" s="137"/>
      <c r="R189" s="137"/>
      <c r="S189" s="137"/>
    </row>
    <row r="190">
      <c r="M190" s="137"/>
      <c r="N190" s="137"/>
      <c r="Q190" s="137"/>
      <c r="R190" s="137"/>
      <c r="S190" s="137"/>
    </row>
    <row r="191">
      <c r="M191" s="137"/>
      <c r="N191" s="137"/>
      <c r="Q191" s="137"/>
      <c r="R191" s="137"/>
      <c r="S191" s="137"/>
    </row>
    <row r="192">
      <c r="M192" s="137"/>
      <c r="N192" s="137"/>
      <c r="Q192" s="137"/>
      <c r="R192" s="137"/>
      <c r="S192" s="137"/>
    </row>
    <row r="193">
      <c r="M193" s="137"/>
      <c r="N193" s="137"/>
      <c r="Q193" s="137"/>
      <c r="R193" s="137"/>
      <c r="S193" s="137"/>
    </row>
    <row r="194">
      <c r="M194" s="137"/>
      <c r="N194" s="137"/>
      <c r="Q194" s="137"/>
      <c r="R194" s="137"/>
      <c r="S194" s="137"/>
    </row>
    <row r="195">
      <c r="M195" s="137"/>
      <c r="N195" s="137"/>
      <c r="Q195" s="137"/>
      <c r="R195" s="137"/>
      <c r="S195" s="137"/>
    </row>
    <row r="196">
      <c r="M196" s="137"/>
      <c r="N196" s="137"/>
      <c r="Q196" s="137"/>
      <c r="R196" s="137"/>
      <c r="S196" s="137"/>
    </row>
    <row r="197">
      <c r="M197" s="137"/>
      <c r="N197" s="137"/>
      <c r="Q197" s="137"/>
      <c r="R197" s="137"/>
      <c r="S197" s="137"/>
    </row>
    <row r="198">
      <c r="M198" s="137"/>
      <c r="N198" s="137"/>
      <c r="Q198" s="137"/>
      <c r="R198" s="137"/>
      <c r="S198" s="137"/>
    </row>
    <row r="199">
      <c r="M199" s="137"/>
      <c r="N199" s="137"/>
      <c r="Q199" s="137"/>
      <c r="R199" s="137"/>
      <c r="S199" s="137"/>
    </row>
    <row r="200">
      <c r="M200" s="137"/>
      <c r="N200" s="137"/>
      <c r="Q200" s="137"/>
      <c r="R200" s="137"/>
      <c r="S200" s="137"/>
    </row>
    <row r="201">
      <c r="M201" s="137"/>
      <c r="N201" s="137"/>
      <c r="Q201" s="137"/>
      <c r="R201" s="137"/>
      <c r="S201" s="137"/>
    </row>
    <row r="202">
      <c r="M202" s="137"/>
      <c r="N202" s="137"/>
      <c r="Q202" s="137"/>
      <c r="R202" s="137"/>
      <c r="S202" s="137"/>
    </row>
    <row r="203">
      <c r="M203" s="137"/>
      <c r="N203" s="137"/>
      <c r="Q203" s="137"/>
      <c r="R203" s="137"/>
      <c r="S203" s="137"/>
    </row>
    <row r="204">
      <c r="M204" s="137"/>
      <c r="N204" s="137"/>
      <c r="Q204" s="137"/>
      <c r="R204" s="137"/>
      <c r="S204" s="137"/>
    </row>
    <row r="205">
      <c r="M205" s="137"/>
      <c r="N205" s="137"/>
      <c r="Q205" s="137"/>
      <c r="R205" s="137"/>
      <c r="S205" s="137"/>
    </row>
    <row r="206">
      <c r="M206" s="137"/>
      <c r="N206" s="137"/>
      <c r="Q206" s="137"/>
      <c r="R206" s="137"/>
      <c r="S206" s="137"/>
    </row>
    <row r="207">
      <c r="M207" s="137"/>
      <c r="N207" s="137"/>
      <c r="Q207" s="137"/>
      <c r="R207" s="137"/>
      <c r="S207" s="137"/>
    </row>
    <row r="208">
      <c r="M208" s="137"/>
      <c r="N208" s="137"/>
      <c r="Q208" s="137"/>
      <c r="R208" s="137"/>
      <c r="S208" s="137"/>
    </row>
    <row r="209">
      <c r="M209" s="137"/>
      <c r="N209" s="137"/>
      <c r="Q209" s="137"/>
      <c r="R209" s="137"/>
      <c r="S209" s="137"/>
    </row>
    <row r="210">
      <c r="M210" s="137"/>
      <c r="N210" s="137"/>
      <c r="Q210" s="137"/>
      <c r="R210" s="137"/>
      <c r="S210" s="137"/>
    </row>
    <row r="211">
      <c r="M211" s="137"/>
      <c r="N211" s="137"/>
      <c r="Q211" s="137"/>
      <c r="R211" s="137"/>
      <c r="S211" s="137"/>
    </row>
    <row r="212">
      <c r="M212" s="137"/>
      <c r="N212" s="137"/>
      <c r="Q212" s="137"/>
      <c r="R212" s="137"/>
      <c r="S212" s="137"/>
    </row>
    <row r="213">
      <c r="M213" s="137"/>
      <c r="N213" s="137"/>
      <c r="Q213" s="137"/>
      <c r="R213" s="137"/>
      <c r="S213" s="137"/>
    </row>
    <row r="214">
      <c r="M214" s="137"/>
      <c r="N214" s="137"/>
      <c r="Q214" s="137"/>
      <c r="R214" s="137"/>
      <c r="S214" s="137"/>
    </row>
    <row r="215">
      <c r="M215" s="137"/>
      <c r="N215" s="137"/>
      <c r="Q215" s="137"/>
      <c r="R215" s="137"/>
      <c r="S215" s="137"/>
    </row>
    <row r="216">
      <c r="M216" s="137"/>
      <c r="N216" s="137"/>
      <c r="Q216" s="137"/>
      <c r="R216" s="137"/>
      <c r="S216" s="137"/>
    </row>
    <row r="217">
      <c r="M217" s="137"/>
      <c r="N217" s="137"/>
      <c r="Q217" s="137"/>
      <c r="R217" s="137"/>
      <c r="S217" s="137"/>
    </row>
    <row r="218">
      <c r="M218" s="137"/>
      <c r="N218" s="137"/>
      <c r="Q218" s="137"/>
      <c r="R218" s="137"/>
      <c r="S218" s="137"/>
    </row>
    <row r="219">
      <c r="M219" s="137"/>
      <c r="N219" s="137"/>
      <c r="Q219" s="137"/>
      <c r="R219" s="137"/>
      <c r="S219" s="137"/>
    </row>
    <row r="220">
      <c r="M220" s="137"/>
      <c r="N220" s="137"/>
      <c r="Q220" s="137"/>
      <c r="R220" s="137"/>
      <c r="S220" s="137"/>
    </row>
    <row r="221">
      <c r="M221" s="137"/>
      <c r="N221" s="137"/>
      <c r="Q221" s="137"/>
      <c r="R221" s="137"/>
      <c r="S221" s="137"/>
    </row>
    <row r="222">
      <c r="M222" s="137"/>
      <c r="N222" s="137"/>
      <c r="Q222" s="137"/>
      <c r="R222" s="137"/>
      <c r="S222" s="137"/>
    </row>
    <row r="223">
      <c r="M223" s="137"/>
      <c r="N223" s="137"/>
      <c r="Q223" s="137"/>
      <c r="R223" s="137"/>
      <c r="S223" s="137"/>
    </row>
    <row r="224">
      <c r="M224" s="137"/>
      <c r="N224" s="137"/>
      <c r="Q224" s="137"/>
      <c r="R224" s="137"/>
      <c r="S224" s="137"/>
    </row>
    <row r="225">
      <c r="M225" s="137"/>
      <c r="N225" s="137"/>
      <c r="Q225" s="137"/>
      <c r="R225" s="137"/>
      <c r="S225" s="137"/>
    </row>
    <row r="226">
      <c r="M226" s="137"/>
      <c r="N226" s="137"/>
      <c r="Q226" s="137"/>
      <c r="R226" s="137"/>
      <c r="S226" s="137"/>
    </row>
    <row r="227">
      <c r="M227" s="137"/>
      <c r="N227" s="137"/>
      <c r="Q227" s="137"/>
      <c r="R227" s="137"/>
      <c r="S227" s="137"/>
    </row>
    <row r="228">
      <c r="M228" s="137"/>
      <c r="N228" s="137"/>
      <c r="Q228" s="137"/>
      <c r="R228" s="137"/>
      <c r="S228" s="137"/>
    </row>
    <row r="229">
      <c r="M229" s="137"/>
      <c r="N229" s="137"/>
      <c r="Q229" s="137"/>
      <c r="R229" s="137"/>
      <c r="S229" s="137"/>
    </row>
    <row r="230">
      <c r="M230" s="137"/>
      <c r="N230" s="137"/>
      <c r="Q230" s="137"/>
      <c r="R230" s="137"/>
      <c r="S230" s="137"/>
    </row>
    <row r="231">
      <c r="M231" s="137"/>
      <c r="N231" s="137"/>
      <c r="Q231" s="137"/>
      <c r="R231" s="137"/>
      <c r="S231" s="137"/>
    </row>
    <row r="232">
      <c r="M232" s="137"/>
      <c r="N232" s="137"/>
      <c r="Q232" s="137"/>
      <c r="R232" s="137"/>
      <c r="S232" s="137"/>
    </row>
    <row r="233">
      <c r="M233" s="137"/>
      <c r="N233" s="137"/>
      <c r="Q233" s="137"/>
      <c r="R233" s="137"/>
      <c r="S233" s="137"/>
    </row>
    <row r="234">
      <c r="M234" s="137"/>
      <c r="N234" s="137"/>
      <c r="Q234" s="137"/>
      <c r="R234" s="137"/>
      <c r="S234" s="137"/>
    </row>
    <row r="235">
      <c r="M235" s="137"/>
      <c r="N235" s="137"/>
      <c r="Q235" s="137"/>
      <c r="R235" s="137"/>
      <c r="S235" s="137"/>
    </row>
    <row r="236">
      <c r="M236" s="137"/>
      <c r="N236" s="137"/>
      <c r="Q236" s="137"/>
      <c r="R236" s="137"/>
      <c r="S236" s="137"/>
    </row>
    <row r="237">
      <c r="M237" s="137"/>
      <c r="N237" s="137"/>
      <c r="Q237" s="137"/>
      <c r="R237" s="137"/>
      <c r="S237" s="137"/>
    </row>
    <row r="238">
      <c r="M238" s="137"/>
      <c r="N238" s="137"/>
      <c r="Q238" s="137"/>
      <c r="R238" s="137"/>
      <c r="S238" s="137"/>
    </row>
    <row r="239">
      <c r="M239" s="137"/>
      <c r="N239" s="137"/>
      <c r="Q239" s="137"/>
      <c r="R239" s="137"/>
      <c r="S239" s="137"/>
    </row>
    <row r="240">
      <c r="M240" s="137"/>
      <c r="N240" s="137"/>
      <c r="Q240" s="137"/>
      <c r="R240" s="137"/>
      <c r="S240" s="137"/>
    </row>
    <row r="241">
      <c r="M241" s="137"/>
      <c r="N241" s="137"/>
      <c r="Q241" s="137"/>
      <c r="R241" s="137"/>
      <c r="S241" s="137"/>
    </row>
    <row r="242">
      <c r="M242" s="137"/>
      <c r="N242" s="137"/>
      <c r="Q242" s="137"/>
      <c r="R242" s="137"/>
      <c r="S242" s="137"/>
    </row>
    <row r="243">
      <c r="M243" s="137"/>
      <c r="N243" s="137"/>
      <c r="Q243" s="137"/>
      <c r="R243" s="137"/>
      <c r="S243" s="137"/>
    </row>
    <row r="244">
      <c r="M244" s="137"/>
      <c r="N244" s="137"/>
      <c r="Q244" s="137"/>
      <c r="R244" s="137"/>
      <c r="S244" s="137"/>
    </row>
    <row r="245">
      <c r="M245" s="137"/>
      <c r="N245" s="137"/>
      <c r="Q245" s="137"/>
      <c r="R245" s="137"/>
      <c r="S245" s="137"/>
    </row>
    <row r="246">
      <c r="M246" s="137"/>
      <c r="N246" s="137"/>
      <c r="Q246" s="137"/>
      <c r="R246" s="137"/>
      <c r="S246" s="137"/>
    </row>
    <row r="247">
      <c r="M247" s="137"/>
      <c r="N247" s="137"/>
      <c r="Q247" s="137"/>
      <c r="R247" s="137"/>
      <c r="S247" s="137"/>
    </row>
    <row r="248">
      <c r="M248" s="137"/>
      <c r="N248" s="137"/>
      <c r="Q248" s="137"/>
      <c r="R248" s="137"/>
      <c r="S248" s="137"/>
    </row>
    <row r="249">
      <c r="M249" s="137"/>
      <c r="N249" s="137"/>
      <c r="Q249" s="137"/>
      <c r="R249" s="137"/>
      <c r="S249" s="137"/>
    </row>
    <row r="250">
      <c r="M250" s="137"/>
      <c r="N250" s="137"/>
      <c r="Q250" s="137"/>
      <c r="R250" s="137"/>
      <c r="S250" s="137"/>
    </row>
    <row r="251">
      <c r="M251" s="137"/>
      <c r="N251" s="137"/>
      <c r="Q251" s="137"/>
      <c r="R251" s="137"/>
      <c r="S251" s="137"/>
    </row>
    <row r="252">
      <c r="M252" s="137"/>
      <c r="N252" s="137"/>
      <c r="Q252" s="137"/>
      <c r="R252" s="137"/>
      <c r="S252" s="137"/>
    </row>
    <row r="253">
      <c r="M253" s="137"/>
      <c r="N253" s="137"/>
      <c r="Q253" s="137"/>
      <c r="R253" s="137"/>
      <c r="S253" s="137"/>
    </row>
    <row r="254">
      <c r="M254" s="137"/>
      <c r="N254" s="137"/>
      <c r="Q254" s="137"/>
      <c r="R254" s="137"/>
      <c r="S254" s="137"/>
    </row>
    <row r="255">
      <c r="M255" s="137"/>
      <c r="N255" s="137"/>
      <c r="Q255" s="137"/>
      <c r="R255" s="137"/>
      <c r="S255" s="137"/>
    </row>
    <row r="256">
      <c r="M256" s="137"/>
      <c r="N256" s="137"/>
      <c r="Q256" s="137"/>
      <c r="R256" s="137"/>
      <c r="S256" s="137"/>
    </row>
    <row r="257">
      <c r="M257" s="137"/>
      <c r="N257" s="137"/>
      <c r="Q257" s="137"/>
      <c r="R257" s="137"/>
      <c r="S257" s="137"/>
    </row>
    <row r="258">
      <c r="M258" s="137"/>
      <c r="N258" s="137"/>
      <c r="Q258" s="137"/>
      <c r="R258" s="137"/>
      <c r="S258" s="137"/>
    </row>
    <row r="259">
      <c r="M259" s="137"/>
      <c r="N259" s="137"/>
      <c r="Q259" s="137"/>
      <c r="R259" s="137"/>
      <c r="S259" s="137"/>
    </row>
    <row r="260">
      <c r="M260" s="137"/>
      <c r="N260" s="137"/>
      <c r="Q260" s="137"/>
      <c r="R260" s="137"/>
      <c r="S260" s="137"/>
    </row>
    <row r="261">
      <c r="M261" s="137"/>
      <c r="N261" s="137"/>
      <c r="Q261" s="137"/>
      <c r="R261" s="137"/>
      <c r="S261" s="137"/>
    </row>
    <row r="262">
      <c r="M262" s="137"/>
      <c r="N262" s="137"/>
      <c r="Q262" s="137"/>
      <c r="R262" s="137"/>
      <c r="S262" s="137"/>
    </row>
    <row r="263">
      <c r="M263" s="137"/>
      <c r="N263" s="137"/>
      <c r="Q263" s="137"/>
      <c r="R263" s="137"/>
      <c r="S263" s="137"/>
    </row>
    <row r="264">
      <c r="M264" s="137"/>
      <c r="N264" s="137"/>
      <c r="Q264" s="137"/>
      <c r="R264" s="137"/>
      <c r="S264" s="137"/>
    </row>
    <row r="265">
      <c r="M265" s="137"/>
      <c r="N265" s="137"/>
      <c r="Q265" s="137"/>
      <c r="R265" s="137"/>
      <c r="S265" s="137"/>
    </row>
    <row r="266">
      <c r="M266" s="137"/>
      <c r="N266" s="137"/>
      <c r="Q266" s="137"/>
      <c r="R266" s="137"/>
      <c r="S266" s="137"/>
    </row>
    <row r="267">
      <c r="M267" s="137"/>
      <c r="N267" s="137"/>
      <c r="Q267" s="137"/>
      <c r="R267" s="137"/>
      <c r="S267" s="137"/>
    </row>
    <row r="268">
      <c r="M268" s="137"/>
      <c r="N268" s="137"/>
      <c r="Q268" s="137"/>
      <c r="R268" s="137"/>
      <c r="S268" s="137"/>
    </row>
    <row r="269">
      <c r="M269" s="137"/>
      <c r="N269" s="137"/>
      <c r="Q269" s="137"/>
      <c r="R269" s="137"/>
      <c r="S269" s="137"/>
    </row>
    <row r="270">
      <c r="M270" s="137"/>
      <c r="N270" s="137"/>
      <c r="Q270" s="137"/>
      <c r="R270" s="137"/>
      <c r="S270" s="137"/>
    </row>
    <row r="271">
      <c r="M271" s="137"/>
      <c r="N271" s="137"/>
      <c r="Q271" s="137"/>
      <c r="R271" s="137"/>
      <c r="S271" s="137"/>
    </row>
    <row r="272">
      <c r="M272" s="137"/>
      <c r="N272" s="137"/>
      <c r="Q272" s="137"/>
      <c r="R272" s="137"/>
      <c r="S272" s="137"/>
    </row>
    <row r="273">
      <c r="M273" s="137"/>
      <c r="N273" s="137"/>
      <c r="Q273" s="137"/>
      <c r="R273" s="137"/>
      <c r="S273" s="137"/>
    </row>
    <row r="274">
      <c r="M274" s="137"/>
      <c r="N274" s="137"/>
      <c r="Q274" s="137"/>
      <c r="R274" s="137"/>
      <c r="S274" s="137"/>
    </row>
    <row r="275">
      <c r="M275" s="137"/>
      <c r="N275" s="137"/>
      <c r="Q275" s="137"/>
      <c r="R275" s="137"/>
      <c r="S275" s="137"/>
    </row>
    <row r="276">
      <c r="M276" s="137"/>
      <c r="N276" s="137"/>
      <c r="Q276" s="137"/>
      <c r="R276" s="137"/>
      <c r="S276" s="137"/>
    </row>
    <row r="277">
      <c r="M277" s="137"/>
      <c r="N277" s="137"/>
      <c r="Q277" s="137"/>
      <c r="R277" s="137"/>
      <c r="S277" s="137"/>
    </row>
    <row r="278">
      <c r="M278" s="137"/>
      <c r="N278" s="137"/>
      <c r="Q278" s="137"/>
      <c r="R278" s="137"/>
      <c r="S278" s="137"/>
    </row>
    <row r="279">
      <c r="M279" s="137"/>
      <c r="N279" s="137"/>
      <c r="Q279" s="137"/>
      <c r="R279" s="137"/>
      <c r="S279" s="137"/>
    </row>
    <row r="280">
      <c r="M280" s="137"/>
      <c r="N280" s="137"/>
      <c r="Q280" s="137"/>
      <c r="R280" s="137"/>
      <c r="S280" s="137"/>
    </row>
    <row r="281">
      <c r="M281" s="137"/>
      <c r="N281" s="137"/>
      <c r="Q281" s="137"/>
      <c r="R281" s="137"/>
      <c r="S281" s="137"/>
    </row>
    <row r="282">
      <c r="M282" s="137"/>
      <c r="N282" s="137"/>
      <c r="Q282" s="137"/>
      <c r="R282" s="137"/>
      <c r="S282" s="137"/>
    </row>
    <row r="283">
      <c r="M283" s="137"/>
      <c r="N283" s="137"/>
      <c r="Q283" s="137"/>
      <c r="R283" s="137"/>
      <c r="S283" s="137"/>
    </row>
    <row r="284">
      <c r="M284" s="137"/>
      <c r="N284" s="137"/>
      <c r="Q284" s="137"/>
      <c r="R284" s="137"/>
      <c r="S284" s="137"/>
    </row>
    <row r="285">
      <c r="M285" s="137"/>
      <c r="N285" s="137"/>
      <c r="Q285" s="137"/>
      <c r="R285" s="137"/>
      <c r="S285" s="137"/>
    </row>
    <row r="286">
      <c r="M286" s="137"/>
      <c r="N286" s="137"/>
      <c r="Q286" s="137"/>
      <c r="R286" s="137"/>
      <c r="S286" s="137"/>
    </row>
    <row r="287">
      <c r="M287" s="137"/>
      <c r="N287" s="137"/>
      <c r="Q287" s="137"/>
      <c r="R287" s="137"/>
      <c r="S287" s="137"/>
    </row>
    <row r="288">
      <c r="M288" s="137"/>
      <c r="N288" s="137"/>
      <c r="Q288" s="137"/>
      <c r="R288" s="137"/>
      <c r="S288" s="137"/>
    </row>
    <row r="289">
      <c r="M289" s="137"/>
      <c r="N289" s="137"/>
      <c r="Q289" s="137"/>
      <c r="R289" s="137"/>
      <c r="S289" s="137"/>
    </row>
    <row r="290">
      <c r="M290" s="137"/>
      <c r="N290" s="137"/>
      <c r="Q290" s="137"/>
      <c r="R290" s="137"/>
      <c r="S290" s="137"/>
    </row>
    <row r="291">
      <c r="M291" s="137"/>
      <c r="N291" s="137"/>
      <c r="Q291" s="137"/>
      <c r="R291" s="137"/>
      <c r="S291" s="137"/>
    </row>
    <row r="292">
      <c r="M292" s="137"/>
      <c r="N292" s="137"/>
      <c r="Q292" s="137"/>
      <c r="R292" s="137"/>
      <c r="S292" s="137"/>
    </row>
    <row r="293">
      <c r="M293" s="137"/>
      <c r="N293" s="137"/>
      <c r="Q293" s="137"/>
      <c r="R293" s="137"/>
      <c r="S293" s="137"/>
    </row>
    <row r="294">
      <c r="M294" s="137"/>
      <c r="N294" s="137"/>
      <c r="Q294" s="137"/>
      <c r="R294" s="137"/>
      <c r="S294" s="137"/>
    </row>
    <row r="295">
      <c r="M295" s="137"/>
      <c r="N295" s="137"/>
      <c r="Q295" s="137"/>
      <c r="R295" s="137"/>
      <c r="S295" s="137"/>
    </row>
    <row r="296">
      <c r="M296" s="137"/>
      <c r="N296" s="137"/>
      <c r="Q296" s="137"/>
      <c r="R296" s="137"/>
      <c r="S296" s="137"/>
    </row>
    <row r="297">
      <c r="M297" s="137"/>
      <c r="N297" s="137"/>
      <c r="Q297" s="137"/>
      <c r="R297" s="137"/>
      <c r="S297" s="137"/>
    </row>
    <row r="298">
      <c r="M298" s="137"/>
      <c r="N298" s="137"/>
      <c r="Q298" s="137"/>
      <c r="R298" s="137"/>
      <c r="S298" s="137"/>
    </row>
    <row r="299">
      <c r="M299" s="137"/>
      <c r="N299" s="137"/>
      <c r="Q299" s="137"/>
      <c r="R299" s="137"/>
      <c r="S299" s="137"/>
    </row>
    <row r="300">
      <c r="M300" s="137"/>
      <c r="N300" s="137"/>
      <c r="Q300" s="137"/>
      <c r="R300" s="137"/>
      <c r="S300" s="137"/>
    </row>
    <row r="301">
      <c r="M301" s="137"/>
      <c r="N301" s="137"/>
      <c r="Q301" s="137"/>
      <c r="R301" s="137"/>
      <c r="S301" s="137"/>
    </row>
    <row r="302">
      <c r="M302" s="137"/>
      <c r="N302" s="137"/>
      <c r="Q302" s="137"/>
      <c r="R302" s="137"/>
      <c r="S302" s="137"/>
    </row>
    <row r="303">
      <c r="M303" s="137"/>
      <c r="N303" s="137"/>
      <c r="Q303" s="137"/>
      <c r="R303" s="137"/>
      <c r="S303" s="137"/>
    </row>
    <row r="304">
      <c r="M304" s="137"/>
      <c r="N304" s="137"/>
      <c r="Q304" s="137"/>
      <c r="R304" s="137"/>
      <c r="S304" s="137"/>
    </row>
    <row r="305">
      <c r="M305" s="137"/>
      <c r="N305" s="137"/>
      <c r="Q305" s="137"/>
      <c r="R305" s="137"/>
      <c r="S305" s="137"/>
    </row>
    <row r="306">
      <c r="M306" s="137"/>
      <c r="N306" s="137"/>
      <c r="Q306" s="137"/>
      <c r="R306" s="137"/>
      <c r="S306" s="137"/>
    </row>
    <row r="307">
      <c r="M307" s="137"/>
      <c r="N307" s="137"/>
      <c r="Q307" s="137"/>
      <c r="R307" s="137"/>
      <c r="S307" s="137"/>
    </row>
    <row r="308">
      <c r="M308" s="137"/>
      <c r="N308" s="137"/>
      <c r="Q308" s="137"/>
      <c r="R308" s="137"/>
      <c r="S308" s="137"/>
    </row>
    <row r="309">
      <c r="M309" s="137"/>
      <c r="N309" s="137"/>
      <c r="Q309" s="137"/>
      <c r="R309" s="137"/>
      <c r="S309" s="137"/>
    </row>
    <row r="310">
      <c r="M310" s="137"/>
      <c r="N310" s="137"/>
      <c r="Q310" s="137"/>
      <c r="R310" s="137"/>
      <c r="S310" s="137"/>
    </row>
    <row r="311">
      <c r="M311" s="137"/>
      <c r="N311" s="137"/>
      <c r="Q311" s="137"/>
      <c r="R311" s="137"/>
      <c r="S311" s="137"/>
    </row>
    <row r="312">
      <c r="M312" s="137"/>
      <c r="N312" s="137"/>
      <c r="Q312" s="137"/>
      <c r="R312" s="137"/>
      <c r="S312" s="137"/>
    </row>
    <row r="313">
      <c r="M313" s="137"/>
      <c r="N313" s="137"/>
      <c r="Q313" s="137"/>
      <c r="R313" s="137"/>
      <c r="S313" s="137"/>
    </row>
    <row r="314">
      <c r="M314" s="137"/>
      <c r="N314" s="137"/>
      <c r="Q314" s="137"/>
      <c r="R314" s="137"/>
      <c r="S314" s="137"/>
    </row>
    <row r="315">
      <c r="M315" s="137"/>
      <c r="N315" s="137"/>
      <c r="Q315" s="137"/>
      <c r="R315" s="137"/>
      <c r="S315" s="137"/>
    </row>
    <row r="316">
      <c r="M316" s="137"/>
      <c r="N316" s="137"/>
      <c r="Q316" s="137"/>
      <c r="R316" s="137"/>
      <c r="S316" s="137"/>
    </row>
    <row r="317">
      <c r="M317" s="137"/>
      <c r="N317" s="137"/>
      <c r="Q317" s="137"/>
      <c r="R317" s="137"/>
      <c r="S317" s="137"/>
    </row>
    <row r="318">
      <c r="M318" s="137"/>
      <c r="N318" s="137"/>
      <c r="Q318" s="137"/>
      <c r="R318" s="137"/>
      <c r="S318" s="137"/>
    </row>
    <row r="319">
      <c r="M319" s="137"/>
      <c r="N319" s="137"/>
      <c r="Q319" s="137"/>
      <c r="R319" s="137"/>
      <c r="S319" s="137"/>
    </row>
    <row r="320">
      <c r="M320" s="137"/>
      <c r="N320" s="137"/>
      <c r="Q320" s="137"/>
      <c r="R320" s="137"/>
      <c r="S320" s="137"/>
    </row>
    <row r="321">
      <c r="M321" s="137"/>
      <c r="N321" s="137"/>
      <c r="Q321" s="137"/>
      <c r="R321" s="137"/>
      <c r="S321" s="137"/>
    </row>
    <row r="322">
      <c r="M322" s="137"/>
      <c r="N322" s="137"/>
      <c r="Q322" s="137"/>
      <c r="R322" s="137"/>
      <c r="S322" s="137"/>
    </row>
    <row r="323">
      <c r="M323" s="137"/>
      <c r="N323" s="137"/>
      <c r="Q323" s="137"/>
      <c r="R323" s="137"/>
      <c r="S323" s="137"/>
    </row>
    <row r="324">
      <c r="M324" s="137"/>
      <c r="N324" s="137"/>
      <c r="Q324" s="137"/>
      <c r="R324" s="137"/>
      <c r="S324" s="137"/>
    </row>
    <row r="325">
      <c r="M325" s="137"/>
      <c r="N325" s="137"/>
      <c r="Q325" s="137"/>
      <c r="R325" s="137"/>
      <c r="S325" s="137"/>
    </row>
    <row r="326">
      <c r="M326" s="137"/>
      <c r="N326" s="137"/>
      <c r="Q326" s="137"/>
      <c r="R326" s="137"/>
      <c r="S326" s="137"/>
    </row>
    <row r="327">
      <c r="M327" s="137"/>
      <c r="N327" s="137"/>
      <c r="Q327" s="137"/>
      <c r="R327" s="137"/>
      <c r="S327" s="137"/>
    </row>
    <row r="328">
      <c r="M328" s="137"/>
      <c r="N328" s="137"/>
      <c r="Q328" s="137"/>
      <c r="R328" s="137"/>
      <c r="S328" s="137"/>
    </row>
    <row r="329">
      <c r="M329" s="137"/>
      <c r="N329" s="137"/>
      <c r="Q329" s="137"/>
      <c r="R329" s="137"/>
      <c r="S329" s="137"/>
    </row>
    <row r="330">
      <c r="M330" s="137"/>
      <c r="N330" s="137"/>
      <c r="Q330" s="137"/>
      <c r="R330" s="137"/>
      <c r="S330" s="137"/>
    </row>
    <row r="331">
      <c r="M331" s="137"/>
      <c r="N331" s="137"/>
      <c r="Q331" s="137"/>
      <c r="R331" s="137"/>
      <c r="S331" s="137"/>
    </row>
    <row r="332">
      <c r="M332" s="137"/>
      <c r="N332" s="137"/>
      <c r="Q332" s="137"/>
      <c r="R332" s="137"/>
      <c r="S332" s="137"/>
    </row>
    <row r="333">
      <c r="M333" s="137"/>
      <c r="N333" s="137"/>
      <c r="Q333" s="137"/>
      <c r="R333" s="137"/>
      <c r="S333" s="137"/>
    </row>
    <row r="334">
      <c r="M334" s="137"/>
      <c r="N334" s="137"/>
      <c r="Q334" s="137"/>
      <c r="R334" s="137"/>
      <c r="S334" s="137"/>
    </row>
    <row r="335">
      <c r="M335" s="137"/>
      <c r="N335" s="137"/>
      <c r="Q335" s="137"/>
      <c r="R335" s="137"/>
      <c r="S335" s="137"/>
    </row>
    <row r="336">
      <c r="M336" s="137"/>
      <c r="N336" s="137"/>
      <c r="Q336" s="137"/>
      <c r="R336" s="137"/>
      <c r="S336" s="137"/>
    </row>
    <row r="337">
      <c r="M337" s="137"/>
      <c r="N337" s="137"/>
      <c r="Q337" s="137"/>
      <c r="R337" s="137"/>
      <c r="S337" s="137"/>
    </row>
    <row r="338">
      <c r="M338" s="137"/>
      <c r="N338" s="137"/>
      <c r="Q338" s="137"/>
      <c r="R338" s="137"/>
      <c r="S338" s="137"/>
    </row>
    <row r="339">
      <c r="M339" s="137"/>
      <c r="N339" s="137"/>
      <c r="Q339" s="137"/>
      <c r="R339" s="137"/>
      <c r="S339" s="137"/>
    </row>
    <row r="340">
      <c r="M340" s="137"/>
      <c r="N340" s="137"/>
      <c r="Q340" s="137"/>
      <c r="R340" s="137"/>
      <c r="S340" s="137"/>
    </row>
    <row r="341">
      <c r="M341" s="137"/>
      <c r="N341" s="137"/>
      <c r="Q341" s="137"/>
      <c r="R341" s="137"/>
      <c r="S341" s="137"/>
    </row>
    <row r="342">
      <c r="M342" s="137"/>
      <c r="N342" s="137"/>
      <c r="Q342" s="137"/>
      <c r="R342" s="137"/>
      <c r="S342" s="137"/>
    </row>
    <row r="343">
      <c r="M343" s="137"/>
      <c r="N343" s="137"/>
      <c r="Q343" s="137"/>
      <c r="R343" s="137"/>
      <c r="S343" s="137"/>
    </row>
    <row r="344">
      <c r="M344" s="137"/>
      <c r="N344" s="137"/>
      <c r="Q344" s="137"/>
      <c r="R344" s="137"/>
      <c r="S344" s="137"/>
    </row>
    <row r="345">
      <c r="M345" s="137"/>
      <c r="N345" s="137"/>
      <c r="Q345" s="137"/>
      <c r="R345" s="137"/>
      <c r="S345" s="137"/>
    </row>
    <row r="346">
      <c r="M346" s="137"/>
      <c r="N346" s="137"/>
      <c r="Q346" s="137"/>
      <c r="R346" s="137"/>
      <c r="S346" s="137"/>
    </row>
    <row r="347">
      <c r="M347" s="137"/>
      <c r="N347" s="137"/>
      <c r="Q347" s="137"/>
      <c r="R347" s="137"/>
      <c r="S347" s="137"/>
    </row>
    <row r="348">
      <c r="M348" s="137"/>
      <c r="N348" s="137"/>
      <c r="Q348" s="137"/>
      <c r="R348" s="137"/>
      <c r="S348" s="137"/>
    </row>
    <row r="349">
      <c r="M349" s="137"/>
      <c r="N349" s="137"/>
      <c r="Q349" s="137"/>
      <c r="R349" s="137"/>
      <c r="S349" s="137"/>
    </row>
    <row r="350">
      <c r="M350" s="137"/>
      <c r="N350" s="137"/>
      <c r="Q350" s="137"/>
      <c r="R350" s="137"/>
      <c r="S350" s="137"/>
    </row>
    <row r="351">
      <c r="M351" s="137"/>
      <c r="N351" s="137"/>
      <c r="Q351" s="137"/>
      <c r="R351" s="137"/>
      <c r="S351" s="137"/>
    </row>
    <row r="352">
      <c r="M352" s="137"/>
      <c r="N352" s="137"/>
      <c r="Q352" s="137"/>
      <c r="R352" s="137"/>
      <c r="S352" s="137"/>
    </row>
    <row r="353">
      <c r="M353" s="137"/>
      <c r="N353" s="137"/>
      <c r="Q353" s="137"/>
      <c r="R353" s="137"/>
      <c r="S353" s="137"/>
    </row>
    <row r="354">
      <c r="M354" s="137"/>
      <c r="N354" s="137"/>
      <c r="Q354" s="137"/>
      <c r="R354" s="137"/>
      <c r="S354" s="137"/>
    </row>
    <row r="355">
      <c r="M355" s="137"/>
      <c r="N355" s="137"/>
      <c r="Q355" s="137"/>
      <c r="R355" s="137"/>
      <c r="S355" s="137"/>
    </row>
    <row r="356">
      <c r="M356" s="137"/>
      <c r="N356" s="137"/>
      <c r="Q356" s="137"/>
      <c r="R356" s="137"/>
      <c r="S356" s="137"/>
    </row>
    <row r="357">
      <c r="M357" s="137"/>
      <c r="N357" s="137"/>
      <c r="Q357" s="137"/>
      <c r="R357" s="137"/>
      <c r="S357" s="137"/>
    </row>
    <row r="358">
      <c r="M358" s="137"/>
      <c r="N358" s="137"/>
      <c r="Q358" s="137"/>
      <c r="R358" s="137"/>
      <c r="S358" s="137"/>
    </row>
    <row r="359">
      <c r="M359" s="137"/>
      <c r="N359" s="137"/>
      <c r="Q359" s="137"/>
      <c r="R359" s="137"/>
      <c r="S359" s="137"/>
    </row>
    <row r="360">
      <c r="M360" s="137"/>
      <c r="N360" s="137"/>
      <c r="Q360" s="137"/>
      <c r="R360" s="137"/>
      <c r="S360" s="137"/>
    </row>
    <row r="361">
      <c r="M361" s="137"/>
      <c r="N361" s="137"/>
      <c r="Q361" s="137"/>
      <c r="R361" s="137"/>
      <c r="S361" s="137"/>
    </row>
    <row r="362">
      <c r="M362" s="137"/>
      <c r="N362" s="137"/>
      <c r="Q362" s="137"/>
      <c r="R362" s="137"/>
      <c r="S362" s="137"/>
    </row>
    <row r="363">
      <c r="M363" s="137"/>
      <c r="N363" s="137"/>
      <c r="Q363" s="137"/>
      <c r="R363" s="137"/>
      <c r="S363" s="137"/>
    </row>
    <row r="364">
      <c r="M364" s="137"/>
      <c r="N364" s="137"/>
      <c r="Q364" s="137"/>
      <c r="R364" s="137"/>
      <c r="S364" s="137"/>
    </row>
    <row r="365">
      <c r="M365" s="137"/>
      <c r="N365" s="137"/>
      <c r="Q365" s="137"/>
      <c r="R365" s="137"/>
      <c r="S365" s="137"/>
    </row>
    <row r="366">
      <c r="M366" s="137"/>
      <c r="N366" s="137"/>
      <c r="Q366" s="137"/>
      <c r="R366" s="137"/>
      <c r="S366" s="137"/>
    </row>
    <row r="367">
      <c r="M367" s="137"/>
      <c r="N367" s="137"/>
      <c r="Q367" s="137"/>
      <c r="R367" s="137"/>
      <c r="S367" s="137"/>
    </row>
    <row r="368">
      <c r="M368" s="137"/>
      <c r="N368" s="137"/>
      <c r="Q368" s="137"/>
      <c r="R368" s="137"/>
      <c r="S368" s="137"/>
    </row>
    <row r="369">
      <c r="M369" s="137"/>
      <c r="N369" s="137"/>
      <c r="Q369" s="137"/>
      <c r="R369" s="137"/>
      <c r="S369" s="137"/>
    </row>
    <row r="370">
      <c r="M370" s="137"/>
      <c r="N370" s="137"/>
      <c r="Q370" s="137"/>
      <c r="R370" s="137"/>
      <c r="S370" s="137"/>
    </row>
    <row r="371">
      <c r="M371" s="137"/>
      <c r="N371" s="137"/>
      <c r="Q371" s="137"/>
      <c r="R371" s="137"/>
      <c r="S371" s="137"/>
    </row>
    <row r="372">
      <c r="M372" s="137"/>
      <c r="N372" s="137"/>
      <c r="Q372" s="137"/>
      <c r="R372" s="137"/>
      <c r="S372" s="137"/>
    </row>
    <row r="373">
      <c r="M373" s="137"/>
      <c r="N373" s="137"/>
      <c r="Q373" s="137"/>
      <c r="R373" s="137"/>
      <c r="S373" s="137"/>
    </row>
    <row r="374">
      <c r="M374" s="137"/>
      <c r="N374" s="137"/>
      <c r="Q374" s="137"/>
      <c r="R374" s="137"/>
      <c r="S374" s="137"/>
    </row>
    <row r="375">
      <c r="M375" s="137"/>
      <c r="N375" s="137"/>
      <c r="Q375" s="137"/>
      <c r="R375" s="137"/>
      <c r="S375" s="137"/>
    </row>
    <row r="376">
      <c r="M376" s="137"/>
      <c r="N376" s="137"/>
      <c r="Q376" s="137"/>
      <c r="R376" s="137"/>
      <c r="S376" s="137"/>
    </row>
    <row r="377">
      <c r="M377" s="137"/>
      <c r="N377" s="137"/>
      <c r="Q377" s="137"/>
      <c r="R377" s="137"/>
      <c r="S377" s="137"/>
    </row>
    <row r="378">
      <c r="M378" s="137"/>
      <c r="N378" s="137"/>
      <c r="Q378" s="137"/>
      <c r="R378" s="137"/>
      <c r="S378" s="137"/>
    </row>
    <row r="379">
      <c r="M379" s="137"/>
      <c r="N379" s="137"/>
      <c r="Q379" s="137"/>
      <c r="R379" s="137"/>
      <c r="S379" s="137"/>
    </row>
    <row r="380">
      <c r="M380" s="137"/>
      <c r="N380" s="137"/>
      <c r="Q380" s="137"/>
      <c r="R380" s="137"/>
      <c r="S380" s="137"/>
    </row>
    <row r="381">
      <c r="M381" s="137"/>
      <c r="N381" s="137"/>
      <c r="Q381" s="137"/>
      <c r="R381" s="137"/>
      <c r="S381" s="137"/>
    </row>
    <row r="382">
      <c r="M382" s="137"/>
      <c r="N382" s="137"/>
      <c r="Q382" s="137"/>
      <c r="R382" s="137"/>
      <c r="S382" s="137"/>
    </row>
    <row r="383">
      <c r="M383" s="137"/>
      <c r="N383" s="137"/>
      <c r="Q383" s="137"/>
      <c r="R383" s="137"/>
      <c r="S383" s="137"/>
    </row>
    <row r="384">
      <c r="M384" s="137"/>
      <c r="N384" s="137"/>
      <c r="Q384" s="137"/>
      <c r="R384" s="137"/>
      <c r="S384" s="137"/>
    </row>
    <row r="385">
      <c r="M385" s="137"/>
      <c r="N385" s="137"/>
      <c r="Q385" s="137"/>
      <c r="R385" s="137"/>
      <c r="S385" s="137"/>
    </row>
    <row r="386">
      <c r="M386" s="137"/>
      <c r="N386" s="137"/>
      <c r="Q386" s="137"/>
      <c r="R386" s="137"/>
      <c r="S386" s="137"/>
    </row>
    <row r="387">
      <c r="M387" s="137"/>
      <c r="N387" s="137"/>
      <c r="Q387" s="137"/>
      <c r="R387" s="137"/>
      <c r="S387" s="137"/>
    </row>
    <row r="388">
      <c r="M388" s="137"/>
      <c r="N388" s="137"/>
      <c r="Q388" s="137"/>
      <c r="R388" s="137"/>
      <c r="S388" s="137"/>
    </row>
    <row r="389">
      <c r="M389" s="137"/>
      <c r="N389" s="137"/>
      <c r="Q389" s="137"/>
      <c r="R389" s="137"/>
      <c r="S389" s="137"/>
    </row>
    <row r="390">
      <c r="M390" s="137"/>
      <c r="N390" s="137"/>
      <c r="Q390" s="137"/>
      <c r="R390" s="137"/>
      <c r="S390" s="137"/>
    </row>
    <row r="391">
      <c r="M391" s="137"/>
      <c r="N391" s="137"/>
      <c r="Q391" s="137"/>
      <c r="R391" s="137"/>
      <c r="S391" s="137"/>
    </row>
    <row r="392">
      <c r="M392" s="137"/>
      <c r="N392" s="137"/>
      <c r="Q392" s="137"/>
      <c r="R392" s="137"/>
      <c r="S392" s="137"/>
    </row>
    <row r="393">
      <c r="M393" s="137"/>
      <c r="N393" s="137"/>
      <c r="Q393" s="137"/>
      <c r="R393" s="137"/>
      <c r="S393" s="137"/>
    </row>
    <row r="394">
      <c r="M394" s="137"/>
      <c r="N394" s="137"/>
      <c r="Q394" s="137"/>
      <c r="R394" s="137"/>
      <c r="S394" s="137"/>
    </row>
    <row r="395">
      <c r="M395" s="137"/>
      <c r="N395" s="137"/>
      <c r="Q395" s="137"/>
      <c r="R395" s="137"/>
      <c r="S395" s="137"/>
    </row>
    <row r="396">
      <c r="M396" s="137"/>
      <c r="N396" s="137"/>
      <c r="Q396" s="137"/>
      <c r="R396" s="137"/>
      <c r="S396" s="137"/>
    </row>
    <row r="397">
      <c r="M397" s="137"/>
      <c r="N397" s="137"/>
      <c r="Q397" s="137"/>
      <c r="R397" s="137"/>
      <c r="S397" s="137"/>
    </row>
    <row r="398">
      <c r="M398" s="137"/>
      <c r="N398" s="137"/>
      <c r="Q398" s="137"/>
      <c r="R398" s="137"/>
      <c r="S398" s="137"/>
    </row>
    <row r="399">
      <c r="M399" s="137"/>
      <c r="N399" s="137"/>
      <c r="Q399" s="137"/>
      <c r="R399" s="137"/>
      <c r="S399" s="137"/>
    </row>
    <row r="400">
      <c r="M400" s="137"/>
      <c r="N400" s="137"/>
      <c r="Q400" s="137"/>
      <c r="R400" s="137"/>
      <c r="S400" s="137"/>
    </row>
    <row r="401">
      <c r="M401" s="137"/>
      <c r="N401" s="137"/>
      <c r="Q401" s="137"/>
      <c r="R401" s="137"/>
      <c r="S401" s="137"/>
    </row>
    <row r="402">
      <c r="M402" s="137"/>
      <c r="N402" s="137"/>
      <c r="Q402" s="137"/>
      <c r="R402" s="137"/>
      <c r="S402" s="137"/>
    </row>
    <row r="403">
      <c r="M403" s="137"/>
      <c r="N403" s="137"/>
      <c r="Q403" s="137"/>
      <c r="R403" s="137"/>
      <c r="S403" s="137"/>
    </row>
    <row r="404">
      <c r="M404" s="137"/>
      <c r="N404" s="137"/>
      <c r="Q404" s="137"/>
      <c r="R404" s="137"/>
      <c r="S404" s="137"/>
    </row>
    <row r="405">
      <c r="M405" s="137"/>
      <c r="N405" s="137"/>
      <c r="Q405" s="137"/>
      <c r="R405" s="137"/>
      <c r="S405" s="137"/>
    </row>
    <row r="406">
      <c r="M406" s="137"/>
      <c r="N406" s="137"/>
      <c r="Q406" s="137"/>
      <c r="R406" s="137"/>
      <c r="S406" s="137"/>
    </row>
    <row r="407">
      <c r="M407" s="137"/>
      <c r="N407" s="137"/>
      <c r="Q407" s="137"/>
      <c r="R407" s="137"/>
      <c r="S407" s="137"/>
    </row>
    <row r="408">
      <c r="M408" s="137"/>
      <c r="N408" s="137"/>
      <c r="Q408" s="137"/>
      <c r="R408" s="137"/>
      <c r="S408" s="137"/>
    </row>
    <row r="409">
      <c r="M409" s="137"/>
      <c r="N409" s="137"/>
      <c r="Q409" s="137"/>
      <c r="R409" s="137"/>
      <c r="S409" s="137"/>
    </row>
    <row r="410">
      <c r="M410" s="137"/>
      <c r="N410" s="137"/>
      <c r="Q410" s="137"/>
      <c r="R410" s="137"/>
      <c r="S410" s="137"/>
    </row>
    <row r="411">
      <c r="M411" s="137"/>
      <c r="N411" s="137"/>
      <c r="Q411" s="137"/>
      <c r="R411" s="137"/>
      <c r="S411" s="137"/>
    </row>
    <row r="412">
      <c r="M412" s="137"/>
      <c r="N412" s="137"/>
      <c r="Q412" s="137"/>
      <c r="R412" s="137"/>
      <c r="S412" s="137"/>
    </row>
    <row r="413">
      <c r="M413" s="137"/>
      <c r="N413" s="137"/>
      <c r="Q413" s="137"/>
      <c r="R413" s="137"/>
      <c r="S413" s="137"/>
    </row>
    <row r="414">
      <c r="M414" s="137"/>
      <c r="N414" s="137"/>
      <c r="Q414" s="137"/>
      <c r="R414" s="137"/>
      <c r="S414" s="137"/>
    </row>
    <row r="415">
      <c r="M415" s="137"/>
      <c r="N415" s="137"/>
      <c r="Q415" s="137"/>
      <c r="R415" s="137"/>
      <c r="S415" s="137"/>
    </row>
    <row r="416">
      <c r="M416" s="137"/>
      <c r="N416" s="137"/>
      <c r="Q416" s="137"/>
      <c r="R416" s="137"/>
      <c r="S416" s="137"/>
    </row>
    <row r="417">
      <c r="M417" s="137"/>
      <c r="N417" s="137"/>
      <c r="Q417" s="137"/>
      <c r="R417" s="137"/>
      <c r="S417" s="137"/>
    </row>
    <row r="418">
      <c r="M418" s="137"/>
      <c r="N418" s="137"/>
      <c r="Q418" s="137"/>
      <c r="R418" s="137"/>
      <c r="S418" s="137"/>
    </row>
    <row r="419">
      <c r="M419" s="137"/>
      <c r="N419" s="137"/>
      <c r="Q419" s="137"/>
      <c r="R419" s="137"/>
      <c r="S419" s="137"/>
    </row>
    <row r="420">
      <c r="M420" s="137"/>
      <c r="N420" s="137"/>
      <c r="Q420" s="137"/>
      <c r="R420" s="137"/>
      <c r="S420" s="137"/>
    </row>
    <row r="421">
      <c r="M421" s="137"/>
      <c r="N421" s="137"/>
      <c r="Q421" s="137"/>
      <c r="R421" s="137"/>
      <c r="S421" s="137"/>
    </row>
    <row r="422">
      <c r="M422" s="137"/>
      <c r="N422" s="137"/>
      <c r="Q422" s="137"/>
      <c r="R422" s="137"/>
      <c r="S422" s="137"/>
    </row>
    <row r="423">
      <c r="M423" s="137"/>
      <c r="N423" s="137"/>
      <c r="Q423" s="137"/>
      <c r="R423" s="137"/>
      <c r="S423" s="137"/>
    </row>
    <row r="424">
      <c r="M424" s="137"/>
      <c r="N424" s="137"/>
      <c r="Q424" s="137"/>
      <c r="R424" s="137"/>
      <c r="S424" s="137"/>
    </row>
    <row r="425">
      <c r="M425" s="137"/>
      <c r="N425" s="137"/>
      <c r="Q425" s="137"/>
      <c r="R425" s="137"/>
      <c r="S425" s="137"/>
    </row>
    <row r="426">
      <c r="M426" s="137"/>
      <c r="N426" s="137"/>
      <c r="Q426" s="137"/>
      <c r="R426" s="137"/>
      <c r="S426" s="137"/>
    </row>
    <row r="427">
      <c r="M427" s="137"/>
      <c r="N427" s="137"/>
      <c r="Q427" s="137"/>
      <c r="R427" s="137"/>
      <c r="S427" s="137"/>
    </row>
    <row r="428">
      <c r="M428" s="137"/>
      <c r="N428" s="137"/>
      <c r="Q428" s="137"/>
      <c r="R428" s="137"/>
      <c r="S428" s="137"/>
    </row>
    <row r="429">
      <c r="M429" s="137"/>
      <c r="N429" s="137"/>
      <c r="Q429" s="137"/>
      <c r="R429" s="137"/>
      <c r="S429" s="137"/>
    </row>
    <row r="430">
      <c r="M430" s="137"/>
      <c r="N430" s="137"/>
      <c r="Q430" s="137"/>
      <c r="R430" s="137"/>
      <c r="S430" s="137"/>
    </row>
    <row r="431">
      <c r="M431" s="137"/>
      <c r="N431" s="137"/>
      <c r="Q431" s="137"/>
      <c r="R431" s="137"/>
      <c r="S431" s="137"/>
    </row>
    <row r="432">
      <c r="M432" s="137"/>
      <c r="N432" s="137"/>
      <c r="Q432" s="137"/>
      <c r="R432" s="137"/>
      <c r="S432" s="137"/>
    </row>
    <row r="433">
      <c r="M433" s="137"/>
      <c r="N433" s="137"/>
      <c r="Q433" s="137"/>
      <c r="R433" s="137"/>
      <c r="S433" s="137"/>
    </row>
    <row r="434">
      <c r="M434" s="137"/>
      <c r="N434" s="137"/>
      <c r="Q434" s="137"/>
      <c r="R434" s="137"/>
      <c r="S434" s="137"/>
    </row>
    <row r="435">
      <c r="M435" s="137"/>
      <c r="N435" s="137"/>
      <c r="Q435" s="137"/>
      <c r="R435" s="137"/>
      <c r="S435" s="137"/>
    </row>
    <row r="436">
      <c r="M436" s="137"/>
      <c r="N436" s="137"/>
      <c r="Q436" s="137"/>
      <c r="R436" s="137"/>
      <c r="S436" s="137"/>
    </row>
    <row r="437">
      <c r="M437" s="137"/>
      <c r="N437" s="137"/>
      <c r="Q437" s="137"/>
      <c r="R437" s="137"/>
      <c r="S437" s="137"/>
    </row>
    <row r="438">
      <c r="M438" s="137"/>
      <c r="N438" s="137"/>
      <c r="Q438" s="137"/>
      <c r="R438" s="137"/>
      <c r="S438" s="137"/>
    </row>
    <row r="439">
      <c r="M439" s="137"/>
      <c r="N439" s="137"/>
      <c r="Q439" s="137"/>
      <c r="R439" s="137"/>
      <c r="S439" s="137"/>
    </row>
    <row r="440">
      <c r="M440" s="137"/>
      <c r="N440" s="137"/>
      <c r="Q440" s="137"/>
      <c r="R440" s="137"/>
      <c r="S440" s="137"/>
    </row>
    <row r="441">
      <c r="M441" s="137"/>
      <c r="N441" s="137"/>
      <c r="Q441" s="137"/>
      <c r="R441" s="137"/>
      <c r="S441" s="137"/>
    </row>
    <row r="442">
      <c r="M442" s="137"/>
      <c r="N442" s="137"/>
      <c r="Q442" s="137"/>
      <c r="R442" s="137"/>
      <c r="S442" s="137"/>
    </row>
    <row r="443">
      <c r="M443" s="137"/>
      <c r="N443" s="137"/>
      <c r="Q443" s="137"/>
      <c r="R443" s="137"/>
      <c r="S443" s="137"/>
    </row>
    <row r="444">
      <c r="M444" s="137"/>
      <c r="N444" s="137"/>
      <c r="Q444" s="137"/>
      <c r="R444" s="137"/>
      <c r="S444" s="137"/>
    </row>
    <row r="445">
      <c r="M445" s="137"/>
      <c r="N445" s="137"/>
      <c r="Q445" s="137"/>
      <c r="R445" s="137"/>
      <c r="S445" s="137"/>
    </row>
    <row r="446">
      <c r="M446" s="137"/>
      <c r="N446" s="137"/>
      <c r="Q446" s="137"/>
      <c r="R446" s="137"/>
      <c r="S446" s="137"/>
    </row>
    <row r="447">
      <c r="M447" s="137"/>
      <c r="N447" s="137"/>
      <c r="Q447" s="137"/>
      <c r="R447" s="137"/>
      <c r="S447" s="137"/>
    </row>
    <row r="448">
      <c r="M448" s="137"/>
      <c r="N448" s="137"/>
      <c r="Q448" s="137"/>
      <c r="R448" s="137"/>
      <c r="S448" s="137"/>
    </row>
    <row r="449">
      <c r="M449" s="137"/>
      <c r="N449" s="137"/>
      <c r="Q449" s="137"/>
      <c r="R449" s="137"/>
      <c r="S449" s="137"/>
    </row>
    <row r="450">
      <c r="M450" s="137"/>
      <c r="N450" s="137"/>
      <c r="Q450" s="137"/>
      <c r="R450" s="137"/>
      <c r="S450" s="137"/>
    </row>
    <row r="451">
      <c r="M451" s="137"/>
      <c r="N451" s="137"/>
      <c r="Q451" s="137"/>
      <c r="R451" s="137"/>
      <c r="S451" s="137"/>
    </row>
    <row r="452">
      <c r="M452" s="137"/>
      <c r="N452" s="137"/>
      <c r="Q452" s="137"/>
      <c r="R452" s="137"/>
      <c r="S452" s="137"/>
    </row>
    <row r="453">
      <c r="M453" s="137"/>
      <c r="N453" s="137"/>
      <c r="Q453" s="137"/>
      <c r="R453" s="137"/>
      <c r="S453" s="137"/>
    </row>
    <row r="454">
      <c r="M454" s="137"/>
      <c r="N454" s="137"/>
      <c r="Q454" s="137"/>
      <c r="R454" s="137"/>
      <c r="S454" s="137"/>
    </row>
    <row r="455">
      <c r="M455" s="137"/>
      <c r="N455" s="137"/>
      <c r="Q455" s="137"/>
      <c r="R455" s="137"/>
      <c r="S455" s="137"/>
    </row>
    <row r="456">
      <c r="M456" s="137"/>
      <c r="N456" s="137"/>
      <c r="Q456" s="137"/>
      <c r="R456" s="137"/>
      <c r="S456" s="137"/>
    </row>
    <row r="457">
      <c r="M457" s="137"/>
      <c r="N457" s="137"/>
      <c r="Q457" s="137"/>
      <c r="R457" s="137"/>
      <c r="S457" s="137"/>
    </row>
    <row r="458">
      <c r="M458" s="137"/>
      <c r="N458" s="137"/>
      <c r="Q458" s="137"/>
      <c r="R458" s="137"/>
      <c r="S458" s="137"/>
    </row>
    <row r="459">
      <c r="M459" s="137"/>
      <c r="N459" s="137"/>
      <c r="Q459" s="137"/>
      <c r="R459" s="137"/>
      <c r="S459" s="137"/>
    </row>
    <row r="460">
      <c r="M460" s="137"/>
      <c r="N460" s="137"/>
      <c r="Q460" s="137"/>
      <c r="R460" s="137"/>
      <c r="S460" s="137"/>
    </row>
    <row r="461">
      <c r="M461" s="137"/>
      <c r="N461" s="137"/>
      <c r="Q461" s="137"/>
      <c r="R461" s="137"/>
      <c r="S461" s="137"/>
    </row>
    <row r="462">
      <c r="M462" s="137"/>
      <c r="N462" s="137"/>
      <c r="Q462" s="137"/>
      <c r="R462" s="137"/>
      <c r="S462" s="137"/>
    </row>
    <row r="463">
      <c r="M463" s="137"/>
      <c r="N463" s="137"/>
      <c r="Q463" s="137"/>
      <c r="R463" s="137"/>
      <c r="S463" s="137"/>
    </row>
    <row r="464">
      <c r="M464" s="137"/>
      <c r="N464" s="137"/>
      <c r="Q464" s="137"/>
      <c r="R464" s="137"/>
      <c r="S464" s="137"/>
    </row>
    <row r="465">
      <c r="M465" s="137"/>
      <c r="N465" s="137"/>
      <c r="Q465" s="137"/>
      <c r="R465" s="137"/>
      <c r="S465" s="137"/>
    </row>
    <row r="466">
      <c r="M466" s="137"/>
      <c r="N466" s="137"/>
      <c r="Q466" s="137"/>
      <c r="R466" s="137"/>
      <c r="S466" s="137"/>
    </row>
    <row r="467">
      <c r="M467" s="137"/>
      <c r="N467" s="137"/>
      <c r="Q467" s="137"/>
      <c r="R467" s="137"/>
      <c r="S467" s="137"/>
    </row>
    <row r="468">
      <c r="M468" s="137"/>
      <c r="N468" s="137"/>
      <c r="Q468" s="137"/>
      <c r="R468" s="137"/>
      <c r="S468" s="137"/>
    </row>
    <row r="469">
      <c r="M469" s="137"/>
      <c r="N469" s="137"/>
      <c r="Q469" s="137"/>
      <c r="R469" s="137"/>
      <c r="S469" s="137"/>
    </row>
    <row r="470">
      <c r="M470" s="137"/>
      <c r="N470" s="137"/>
      <c r="Q470" s="137"/>
      <c r="R470" s="137"/>
      <c r="S470" s="137"/>
    </row>
    <row r="471">
      <c r="M471" s="137"/>
      <c r="N471" s="137"/>
      <c r="Q471" s="137"/>
      <c r="R471" s="137"/>
      <c r="S471" s="137"/>
    </row>
    <row r="472">
      <c r="M472" s="137"/>
      <c r="N472" s="137"/>
      <c r="Q472" s="137"/>
      <c r="R472" s="137"/>
      <c r="S472" s="137"/>
    </row>
    <row r="473">
      <c r="M473" s="137"/>
      <c r="N473" s="137"/>
      <c r="Q473" s="137"/>
      <c r="R473" s="137"/>
      <c r="S473" s="137"/>
    </row>
    <row r="474">
      <c r="M474" s="137"/>
      <c r="N474" s="137"/>
      <c r="Q474" s="137"/>
      <c r="R474" s="137"/>
      <c r="S474" s="137"/>
    </row>
    <row r="475">
      <c r="M475" s="137"/>
      <c r="N475" s="137"/>
      <c r="Q475" s="137"/>
      <c r="R475" s="137"/>
      <c r="S475" s="137"/>
    </row>
    <row r="476">
      <c r="M476" s="137"/>
      <c r="N476" s="137"/>
      <c r="Q476" s="137"/>
      <c r="R476" s="137"/>
      <c r="S476" s="137"/>
    </row>
    <row r="477">
      <c r="M477" s="137"/>
      <c r="N477" s="137"/>
      <c r="Q477" s="137"/>
      <c r="R477" s="137"/>
      <c r="S477" s="137"/>
    </row>
    <row r="478">
      <c r="M478" s="137"/>
      <c r="N478" s="137"/>
      <c r="Q478" s="137"/>
      <c r="R478" s="137"/>
      <c r="S478" s="137"/>
    </row>
    <row r="479">
      <c r="M479" s="137"/>
      <c r="N479" s="137"/>
      <c r="Q479" s="137"/>
      <c r="R479" s="137"/>
      <c r="S479" s="137"/>
    </row>
    <row r="480">
      <c r="M480" s="137"/>
      <c r="N480" s="137"/>
      <c r="Q480" s="137"/>
      <c r="R480" s="137"/>
      <c r="S480" s="137"/>
    </row>
    <row r="481">
      <c r="M481" s="137"/>
      <c r="N481" s="137"/>
      <c r="Q481" s="137"/>
      <c r="R481" s="137"/>
      <c r="S481" s="137"/>
    </row>
    <row r="482">
      <c r="M482" s="137"/>
      <c r="N482" s="137"/>
      <c r="Q482" s="137"/>
      <c r="R482" s="137"/>
      <c r="S482" s="137"/>
    </row>
    <row r="483">
      <c r="M483" s="137"/>
      <c r="N483" s="137"/>
      <c r="Q483" s="137"/>
      <c r="R483" s="137"/>
      <c r="S483" s="137"/>
    </row>
    <row r="484">
      <c r="M484" s="137"/>
      <c r="N484" s="137"/>
      <c r="Q484" s="137"/>
      <c r="R484" s="137"/>
      <c r="S484" s="137"/>
    </row>
    <row r="485">
      <c r="M485" s="137"/>
      <c r="N485" s="137"/>
      <c r="Q485" s="137"/>
      <c r="R485" s="137"/>
      <c r="S485" s="137"/>
    </row>
    <row r="486">
      <c r="M486" s="137"/>
      <c r="N486" s="137"/>
      <c r="Q486" s="137"/>
      <c r="R486" s="137"/>
      <c r="S486" s="137"/>
    </row>
    <row r="487">
      <c r="M487" s="137"/>
      <c r="N487" s="137"/>
      <c r="Q487" s="137"/>
      <c r="R487" s="137"/>
      <c r="S487" s="137"/>
    </row>
    <row r="488">
      <c r="M488" s="137"/>
      <c r="N488" s="137"/>
      <c r="Q488" s="137"/>
      <c r="R488" s="137"/>
      <c r="S488" s="137"/>
    </row>
    <row r="489">
      <c r="M489" s="137"/>
      <c r="N489" s="137"/>
      <c r="Q489" s="137"/>
      <c r="R489" s="137"/>
      <c r="S489" s="137"/>
    </row>
    <row r="490">
      <c r="M490" s="137"/>
      <c r="N490" s="137"/>
      <c r="Q490" s="137"/>
      <c r="R490" s="137"/>
      <c r="S490" s="137"/>
    </row>
    <row r="491">
      <c r="M491" s="137"/>
      <c r="N491" s="137"/>
      <c r="Q491" s="137"/>
      <c r="R491" s="137"/>
      <c r="S491" s="137"/>
    </row>
    <row r="492">
      <c r="M492" s="137"/>
      <c r="N492" s="137"/>
      <c r="Q492" s="137"/>
      <c r="R492" s="137"/>
      <c r="S492" s="137"/>
    </row>
    <row r="493">
      <c r="M493" s="137"/>
      <c r="N493" s="137"/>
      <c r="Q493" s="137"/>
      <c r="R493" s="137"/>
      <c r="S493" s="137"/>
    </row>
    <row r="494">
      <c r="M494" s="137"/>
      <c r="N494" s="137"/>
      <c r="Q494" s="137"/>
      <c r="R494" s="137"/>
      <c r="S494" s="137"/>
    </row>
    <row r="495">
      <c r="M495" s="137"/>
      <c r="N495" s="137"/>
      <c r="Q495" s="137"/>
      <c r="R495" s="137"/>
      <c r="S495" s="137"/>
    </row>
    <row r="496">
      <c r="M496" s="137"/>
      <c r="N496" s="137"/>
      <c r="Q496" s="137"/>
      <c r="R496" s="137"/>
      <c r="S496" s="137"/>
    </row>
    <row r="497">
      <c r="M497" s="137"/>
      <c r="N497" s="137"/>
      <c r="Q497" s="137"/>
      <c r="R497" s="137"/>
      <c r="S497" s="137"/>
    </row>
    <row r="498">
      <c r="M498" s="137"/>
      <c r="N498" s="137"/>
      <c r="Q498" s="137"/>
      <c r="R498" s="137"/>
      <c r="S498" s="137"/>
    </row>
    <row r="499">
      <c r="M499" s="137"/>
      <c r="N499" s="137"/>
      <c r="Q499" s="137"/>
      <c r="R499" s="137"/>
      <c r="S499" s="137"/>
    </row>
    <row r="500">
      <c r="M500" s="137"/>
      <c r="N500" s="137"/>
      <c r="Q500" s="137"/>
      <c r="R500" s="137"/>
      <c r="S500" s="137"/>
    </row>
    <row r="501">
      <c r="M501" s="137"/>
      <c r="N501" s="137"/>
      <c r="Q501" s="137"/>
      <c r="R501" s="137"/>
      <c r="S501" s="137"/>
    </row>
    <row r="502">
      <c r="M502" s="137"/>
      <c r="N502" s="137"/>
      <c r="Q502" s="137"/>
      <c r="R502" s="137"/>
      <c r="S502" s="137"/>
    </row>
    <row r="503">
      <c r="M503" s="137"/>
      <c r="N503" s="137"/>
      <c r="Q503" s="137"/>
      <c r="R503" s="137"/>
      <c r="S503" s="137"/>
    </row>
    <row r="504">
      <c r="M504" s="137"/>
      <c r="N504" s="137"/>
      <c r="Q504" s="137"/>
      <c r="R504" s="137"/>
      <c r="S504" s="137"/>
    </row>
    <row r="505">
      <c r="M505" s="137"/>
      <c r="N505" s="137"/>
      <c r="Q505" s="137"/>
      <c r="R505" s="137"/>
      <c r="S505" s="137"/>
    </row>
    <row r="506">
      <c r="M506" s="137"/>
      <c r="N506" s="137"/>
      <c r="Q506" s="137"/>
      <c r="R506" s="137"/>
      <c r="S506" s="137"/>
    </row>
    <row r="507">
      <c r="M507" s="137"/>
      <c r="N507" s="137"/>
      <c r="Q507" s="137"/>
      <c r="R507" s="137"/>
      <c r="S507" s="137"/>
    </row>
    <row r="508">
      <c r="M508" s="137"/>
      <c r="N508" s="137"/>
      <c r="Q508" s="137"/>
      <c r="R508" s="137"/>
      <c r="S508" s="137"/>
    </row>
    <row r="509">
      <c r="M509" s="137"/>
      <c r="N509" s="137"/>
      <c r="Q509" s="137"/>
      <c r="R509" s="137"/>
      <c r="S509" s="137"/>
    </row>
    <row r="510">
      <c r="M510" s="137"/>
      <c r="N510" s="137"/>
      <c r="Q510" s="137"/>
      <c r="R510" s="137"/>
      <c r="S510" s="137"/>
    </row>
    <row r="511">
      <c r="M511" s="137"/>
      <c r="N511" s="137"/>
      <c r="Q511" s="137"/>
      <c r="R511" s="137"/>
      <c r="S511" s="137"/>
    </row>
    <row r="512">
      <c r="M512" s="137"/>
      <c r="N512" s="137"/>
      <c r="Q512" s="137"/>
      <c r="R512" s="137"/>
      <c r="S512" s="137"/>
    </row>
    <row r="513">
      <c r="M513" s="137"/>
      <c r="N513" s="137"/>
      <c r="Q513" s="137"/>
      <c r="R513" s="137"/>
      <c r="S513" s="137"/>
    </row>
    <row r="514">
      <c r="M514" s="137"/>
      <c r="N514" s="137"/>
      <c r="Q514" s="137"/>
      <c r="R514" s="137"/>
      <c r="S514" s="137"/>
    </row>
    <row r="515">
      <c r="M515" s="137"/>
      <c r="N515" s="137"/>
      <c r="Q515" s="137"/>
      <c r="R515" s="137"/>
      <c r="S515" s="137"/>
    </row>
    <row r="516">
      <c r="M516" s="137"/>
      <c r="N516" s="137"/>
      <c r="Q516" s="137"/>
      <c r="R516" s="137"/>
      <c r="S516" s="137"/>
    </row>
    <row r="517">
      <c r="M517" s="137"/>
      <c r="N517" s="137"/>
      <c r="Q517" s="137"/>
      <c r="R517" s="137"/>
      <c r="S517" s="137"/>
    </row>
    <row r="518">
      <c r="M518" s="137"/>
      <c r="N518" s="137"/>
      <c r="Q518" s="137"/>
      <c r="R518" s="137"/>
      <c r="S518" s="137"/>
    </row>
    <row r="519">
      <c r="M519" s="137"/>
      <c r="N519" s="137"/>
      <c r="Q519" s="137"/>
      <c r="R519" s="137"/>
      <c r="S519" s="137"/>
    </row>
    <row r="520">
      <c r="M520" s="137"/>
      <c r="N520" s="137"/>
      <c r="Q520" s="137"/>
      <c r="R520" s="137"/>
      <c r="S520" s="137"/>
    </row>
    <row r="521">
      <c r="M521" s="137"/>
      <c r="N521" s="137"/>
      <c r="Q521" s="137"/>
      <c r="R521" s="137"/>
      <c r="S521" s="137"/>
    </row>
    <row r="522">
      <c r="M522" s="137"/>
      <c r="N522" s="137"/>
      <c r="Q522" s="137"/>
      <c r="R522" s="137"/>
      <c r="S522" s="137"/>
    </row>
    <row r="523">
      <c r="M523" s="137"/>
      <c r="N523" s="137"/>
      <c r="Q523" s="137"/>
      <c r="R523" s="137"/>
      <c r="S523" s="137"/>
    </row>
    <row r="524">
      <c r="M524" s="137"/>
      <c r="N524" s="137"/>
      <c r="Q524" s="137"/>
      <c r="R524" s="137"/>
      <c r="S524" s="137"/>
    </row>
    <row r="525">
      <c r="M525" s="137"/>
      <c r="N525" s="137"/>
      <c r="Q525" s="137"/>
      <c r="R525" s="137"/>
      <c r="S525" s="137"/>
    </row>
    <row r="526">
      <c r="M526" s="137"/>
      <c r="N526" s="137"/>
      <c r="Q526" s="137"/>
      <c r="R526" s="137"/>
      <c r="S526" s="137"/>
    </row>
    <row r="527">
      <c r="M527" s="137"/>
      <c r="N527" s="137"/>
      <c r="Q527" s="137"/>
      <c r="R527" s="137"/>
      <c r="S527" s="137"/>
    </row>
    <row r="528">
      <c r="M528" s="137"/>
      <c r="N528" s="137"/>
      <c r="Q528" s="137"/>
      <c r="R528" s="137"/>
      <c r="S528" s="137"/>
    </row>
    <row r="529">
      <c r="M529" s="137"/>
      <c r="N529" s="137"/>
      <c r="Q529" s="137"/>
      <c r="R529" s="137"/>
      <c r="S529" s="137"/>
    </row>
    <row r="530">
      <c r="M530" s="137"/>
      <c r="N530" s="137"/>
      <c r="Q530" s="137"/>
      <c r="R530" s="137"/>
      <c r="S530" s="137"/>
    </row>
    <row r="531">
      <c r="M531" s="137"/>
      <c r="N531" s="137"/>
      <c r="Q531" s="137"/>
      <c r="R531" s="137"/>
      <c r="S531" s="137"/>
    </row>
    <row r="532">
      <c r="M532" s="137"/>
      <c r="N532" s="137"/>
      <c r="Q532" s="137"/>
      <c r="R532" s="137"/>
      <c r="S532" s="137"/>
    </row>
    <row r="533">
      <c r="M533" s="137"/>
      <c r="N533" s="137"/>
      <c r="Q533" s="137"/>
      <c r="R533" s="137"/>
      <c r="S533" s="137"/>
    </row>
    <row r="534">
      <c r="M534" s="137"/>
      <c r="N534" s="137"/>
      <c r="Q534" s="137"/>
      <c r="R534" s="137"/>
      <c r="S534" s="137"/>
    </row>
    <row r="535">
      <c r="M535" s="137"/>
      <c r="N535" s="137"/>
      <c r="Q535" s="137"/>
      <c r="R535" s="137"/>
      <c r="S535" s="137"/>
    </row>
    <row r="536">
      <c r="M536" s="137"/>
      <c r="N536" s="137"/>
      <c r="Q536" s="137"/>
      <c r="R536" s="137"/>
      <c r="S536" s="137"/>
    </row>
    <row r="537">
      <c r="M537" s="137"/>
      <c r="N537" s="137"/>
      <c r="Q537" s="137"/>
      <c r="R537" s="137"/>
      <c r="S537" s="137"/>
    </row>
    <row r="538">
      <c r="M538" s="137"/>
      <c r="N538" s="137"/>
      <c r="Q538" s="137"/>
      <c r="R538" s="137"/>
      <c r="S538" s="137"/>
    </row>
    <row r="539">
      <c r="M539" s="137"/>
      <c r="N539" s="137"/>
      <c r="Q539" s="137"/>
      <c r="R539" s="137"/>
      <c r="S539" s="137"/>
    </row>
    <row r="540">
      <c r="M540" s="137"/>
      <c r="N540" s="137"/>
      <c r="Q540" s="137"/>
      <c r="R540" s="137"/>
      <c r="S540" s="137"/>
    </row>
    <row r="541">
      <c r="M541" s="137"/>
      <c r="N541" s="137"/>
      <c r="Q541" s="137"/>
      <c r="R541" s="137"/>
      <c r="S541" s="137"/>
    </row>
    <row r="542">
      <c r="M542" s="137"/>
      <c r="N542" s="137"/>
      <c r="Q542" s="137"/>
      <c r="R542" s="137"/>
      <c r="S542" s="137"/>
    </row>
    <row r="543">
      <c r="M543" s="137"/>
      <c r="N543" s="137"/>
      <c r="Q543" s="137"/>
      <c r="R543" s="137"/>
      <c r="S543" s="137"/>
    </row>
    <row r="544">
      <c r="M544" s="137"/>
      <c r="N544" s="137"/>
      <c r="Q544" s="137"/>
      <c r="R544" s="137"/>
      <c r="S544" s="137"/>
    </row>
    <row r="545">
      <c r="M545" s="137"/>
      <c r="N545" s="137"/>
      <c r="Q545" s="137"/>
      <c r="R545" s="137"/>
      <c r="S545" s="137"/>
    </row>
    <row r="546">
      <c r="M546" s="137"/>
      <c r="N546" s="137"/>
      <c r="Q546" s="137"/>
      <c r="R546" s="137"/>
      <c r="S546" s="137"/>
    </row>
    <row r="547">
      <c r="M547" s="137"/>
      <c r="N547" s="137"/>
      <c r="Q547" s="137"/>
      <c r="R547" s="137"/>
      <c r="S547" s="137"/>
    </row>
    <row r="548">
      <c r="M548" s="137"/>
      <c r="N548" s="137"/>
      <c r="Q548" s="137"/>
      <c r="R548" s="137"/>
      <c r="S548" s="137"/>
    </row>
    <row r="549">
      <c r="M549" s="137"/>
      <c r="N549" s="137"/>
      <c r="Q549" s="137"/>
      <c r="R549" s="137"/>
      <c r="S549" s="137"/>
    </row>
    <row r="550">
      <c r="M550" s="137"/>
      <c r="N550" s="137"/>
      <c r="Q550" s="137"/>
      <c r="R550" s="137"/>
      <c r="S550" s="137"/>
    </row>
    <row r="551">
      <c r="M551" s="137"/>
      <c r="N551" s="137"/>
      <c r="Q551" s="137"/>
      <c r="R551" s="137"/>
      <c r="S551" s="137"/>
    </row>
    <row r="552">
      <c r="M552" s="137"/>
      <c r="N552" s="137"/>
      <c r="Q552" s="137"/>
      <c r="R552" s="137"/>
      <c r="S552" s="137"/>
    </row>
    <row r="553">
      <c r="M553" s="137"/>
      <c r="N553" s="137"/>
      <c r="Q553" s="137"/>
      <c r="R553" s="137"/>
      <c r="S553" s="137"/>
    </row>
    <row r="554">
      <c r="M554" s="137"/>
      <c r="N554" s="137"/>
      <c r="Q554" s="137"/>
      <c r="R554" s="137"/>
      <c r="S554" s="137"/>
    </row>
    <row r="555">
      <c r="M555" s="137"/>
      <c r="N555" s="137"/>
      <c r="Q555" s="137"/>
      <c r="R555" s="137"/>
      <c r="S555" s="137"/>
    </row>
    <row r="556">
      <c r="M556" s="137"/>
      <c r="N556" s="137"/>
      <c r="Q556" s="137"/>
      <c r="R556" s="137"/>
      <c r="S556" s="137"/>
    </row>
    <row r="557">
      <c r="M557" s="137"/>
      <c r="N557" s="137"/>
      <c r="Q557" s="137"/>
      <c r="R557" s="137"/>
      <c r="S557" s="137"/>
    </row>
    <row r="558">
      <c r="M558" s="137"/>
      <c r="N558" s="137"/>
      <c r="Q558" s="137"/>
      <c r="R558" s="137"/>
      <c r="S558" s="137"/>
    </row>
    <row r="559">
      <c r="M559" s="137"/>
      <c r="N559" s="137"/>
      <c r="Q559" s="137"/>
      <c r="R559" s="137"/>
      <c r="S559" s="137"/>
    </row>
    <row r="560">
      <c r="M560" s="137"/>
      <c r="N560" s="137"/>
      <c r="Q560" s="137"/>
      <c r="R560" s="137"/>
      <c r="S560" s="137"/>
    </row>
    <row r="561">
      <c r="M561" s="137"/>
      <c r="N561" s="137"/>
      <c r="Q561" s="137"/>
      <c r="R561" s="137"/>
      <c r="S561" s="137"/>
    </row>
    <row r="562">
      <c r="M562" s="137"/>
      <c r="N562" s="137"/>
      <c r="Q562" s="137"/>
      <c r="R562" s="137"/>
      <c r="S562" s="137"/>
    </row>
    <row r="563">
      <c r="M563" s="137"/>
      <c r="N563" s="137"/>
      <c r="Q563" s="137"/>
      <c r="R563" s="137"/>
      <c r="S563" s="137"/>
    </row>
    <row r="564">
      <c r="M564" s="137"/>
      <c r="N564" s="137"/>
      <c r="Q564" s="137"/>
      <c r="R564" s="137"/>
      <c r="S564" s="137"/>
    </row>
    <row r="565">
      <c r="M565" s="137"/>
      <c r="N565" s="137"/>
      <c r="Q565" s="137"/>
      <c r="R565" s="137"/>
      <c r="S565" s="137"/>
    </row>
    <row r="566">
      <c r="M566" s="137"/>
      <c r="N566" s="137"/>
      <c r="Q566" s="137"/>
      <c r="R566" s="137"/>
      <c r="S566" s="137"/>
    </row>
    <row r="567">
      <c r="M567" s="137"/>
      <c r="N567" s="137"/>
      <c r="Q567" s="137"/>
      <c r="R567" s="137"/>
      <c r="S567" s="137"/>
    </row>
    <row r="568">
      <c r="M568" s="137"/>
      <c r="N568" s="137"/>
      <c r="Q568" s="137"/>
      <c r="R568" s="137"/>
      <c r="S568" s="137"/>
    </row>
    <row r="569">
      <c r="M569" s="137"/>
      <c r="N569" s="137"/>
      <c r="Q569" s="137"/>
      <c r="R569" s="137"/>
      <c r="S569" s="137"/>
    </row>
    <row r="570">
      <c r="M570" s="137"/>
      <c r="N570" s="137"/>
      <c r="Q570" s="137"/>
      <c r="R570" s="137"/>
      <c r="S570" s="137"/>
    </row>
    <row r="571">
      <c r="M571" s="137"/>
      <c r="N571" s="137"/>
      <c r="Q571" s="137"/>
      <c r="R571" s="137"/>
      <c r="S571" s="137"/>
    </row>
    <row r="572">
      <c r="M572" s="137"/>
      <c r="N572" s="137"/>
      <c r="Q572" s="137"/>
      <c r="R572" s="137"/>
      <c r="S572" s="137"/>
    </row>
    <row r="573">
      <c r="M573" s="137"/>
      <c r="N573" s="137"/>
      <c r="Q573" s="137"/>
      <c r="R573" s="137"/>
      <c r="S573" s="137"/>
    </row>
    <row r="574">
      <c r="M574" s="137"/>
      <c r="N574" s="137"/>
      <c r="Q574" s="137"/>
      <c r="R574" s="137"/>
      <c r="S574" s="137"/>
    </row>
    <row r="575">
      <c r="M575" s="137"/>
      <c r="N575" s="137"/>
      <c r="Q575" s="137"/>
      <c r="R575" s="137"/>
      <c r="S575" s="137"/>
    </row>
    <row r="576">
      <c r="M576" s="137"/>
      <c r="N576" s="137"/>
      <c r="Q576" s="137"/>
      <c r="R576" s="137"/>
      <c r="S576" s="137"/>
    </row>
    <row r="577">
      <c r="M577" s="137"/>
      <c r="N577" s="137"/>
      <c r="Q577" s="137"/>
      <c r="R577" s="137"/>
      <c r="S577" s="137"/>
    </row>
    <row r="578">
      <c r="M578" s="137"/>
      <c r="N578" s="137"/>
      <c r="Q578" s="137"/>
      <c r="R578" s="137"/>
      <c r="S578" s="137"/>
    </row>
    <row r="579">
      <c r="M579" s="137"/>
      <c r="N579" s="137"/>
      <c r="Q579" s="137"/>
      <c r="R579" s="137"/>
      <c r="S579" s="137"/>
    </row>
    <row r="580">
      <c r="M580" s="137"/>
      <c r="N580" s="137"/>
      <c r="Q580" s="137"/>
      <c r="R580" s="137"/>
      <c r="S580" s="137"/>
    </row>
    <row r="581">
      <c r="M581" s="137"/>
      <c r="N581" s="137"/>
      <c r="Q581" s="137"/>
      <c r="R581" s="137"/>
      <c r="S581" s="137"/>
    </row>
    <row r="582">
      <c r="M582" s="137"/>
      <c r="N582" s="137"/>
      <c r="Q582" s="137"/>
      <c r="R582" s="137"/>
      <c r="S582" s="137"/>
    </row>
    <row r="583">
      <c r="M583" s="137"/>
      <c r="N583" s="137"/>
      <c r="Q583" s="137"/>
      <c r="R583" s="137"/>
      <c r="S583" s="137"/>
    </row>
    <row r="584">
      <c r="M584" s="137"/>
      <c r="N584" s="137"/>
      <c r="Q584" s="137"/>
      <c r="R584" s="137"/>
      <c r="S584" s="137"/>
    </row>
    <row r="585">
      <c r="M585" s="137"/>
      <c r="N585" s="137"/>
      <c r="Q585" s="137"/>
      <c r="R585" s="137"/>
      <c r="S585" s="137"/>
    </row>
    <row r="586">
      <c r="M586" s="137"/>
      <c r="N586" s="137"/>
      <c r="Q586" s="137"/>
      <c r="R586" s="137"/>
      <c r="S586" s="137"/>
    </row>
    <row r="587">
      <c r="M587" s="137"/>
      <c r="N587" s="137"/>
      <c r="Q587" s="137"/>
      <c r="R587" s="137"/>
      <c r="S587" s="137"/>
    </row>
    <row r="588">
      <c r="M588" s="137"/>
      <c r="N588" s="137"/>
      <c r="Q588" s="137"/>
      <c r="R588" s="137"/>
      <c r="S588" s="137"/>
    </row>
    <row r="589">
      <c r="M589" s="137"/>
      <c r="N589" s="137"/>
      <c r="Q589" s="137"/>
      <c r="R589" s="137"/>
      <c r="S589" s="137"/>
    </row>
    <row r="590">
      <c r="M590" s="137"/>
      <c r="N590" s="137"/>
      <c r="Q590" s="137"/>
      <c r="R590" s="137"/>
      <c r="S590" s="137"/>
    </row>
    <row r="591">
      <c r="M591" s="137"/>
      <c r="N591" s="137"/>
      <c r="Q591" s="137"/>
      <c r="R591" s="137"/>
      <c r="S591" s="137"/>
    </row>
    <row r="592">
      <c r="M592" s="137"/>
      <c r="N592" s="137"/>
      <c r="Q592" s="137"/>
      <c r="R592" s="137"/>
      <c r="S592" s="137"/>
    </row>
    <row r="593">
      <c r="M593" s="137"/>
      <c r="N593" s="137"/>
      <c r="Q593" s="137"/>
      <c r="R593" s="137"/>
      <c r="S593" s="137"/>
    </row>
    <row r="594">
      <c r="M594" s="137"/>
      <c r="N594" s="137"/>
      <c r="Q594" s="137"/>
      <c r="R594" s="137"/>
      <c r="S594" s="137"/>
    </row>
    <row r="595">
      <c r="M595" s="137"/>
      <c r="N595" s="137"/>
      <c r="Q595" s="137"/>
      <c r="R595" s="137"/>
      <c r="S595" s="137"/>
    </row>
    <row r="596">
      <c r="M596" s="137"/>
      <c r="N596" s="137"/>
      <c r="Q596" s="137"/>
      <c r="R596" s="137"/>
      <c r="S596" s="137"/>
    </row>
    <row r="597">
      <c r="M597" s="137"/>
      <c r="N597" s="137"/>
      <c r="Q597" s="137"/>
      <c r="R597" s="137"/>
      <c r="S597" s="137"/>
    </row>
    <row r="598">
      <c r="M598" s="137"/>
      <c r="N598" s="137"/>
      <c r="Q598" s="137"/>
      <c r="R598" s="137"/>
      <c r="S598" s="137"/>
    </row>
    <row r="599">
      <c r="M599" s="137"/>
      <c r="N599" s="137"/>
      <c r="Q599" s="137"/>
      <c r="R599" s="137"/>
      <c r="S599" s="137"/>
    </row>
    <row r="600">
      <c r="M600" s="137"/>
      <c r="N600" s="137"/>
      <c r="Q600" s="137"/>
      <c r="R600" s="137"/>
      <c r="S600" s="137"/>
    </row>
    <row r="601">
      <c r="M601" s="137"/>
      <c r="N601" s="137"/>
      <c r="Q601" s="137"/>
      <c r="R601" s="137"/>
      <c r="S601" s="137"/>
    </row>
    <row r="602">
      <c r="M602" s="137"/>
      <c r="N602" s="137"/>
      <c r="Q602" s="137"/>
      <c r="R602" s="137"/>
      <c r="S602" s="137"/>
    </row>
    <row r="603">
      <c r="M603" s="137"/>
      <c r="N603" s="137"/>
      <c r="Q603" s="137"/>
      <c r="R603" s="137"/>
      <c r="S603" s="137"/>
    </row>
    <row r="604">
      <c r="M604" s="137"/>
      <c r="N604" s="137"/>
      <c r="Q604" s="137"/>
      <c r="R604" s="137"/>
      <c r="S604" s="137"/>
    </row>
    <row r="605">
      <c r="M605" s="137"/>
      <c r="N605" s="137"/>
      <c r="Q605" s="137"/>
      <c r="R605" s="137"/>
      <c r="S605" s="137"/>
    </row>
    <row r="606">
      <c r="M606" s="137"/>
      <c r="N606" s="137"/>
      <c r="Q606" s="137"/>
      <c r="R606" s="137"/>
      <c r="S606" s="137"/>
    </row>
    <row r="607">
      <c r="M607" s="137"/>
      <c r="N607" s="137"/>
      <c r="Q607" s="137"/>
      <c r="R607" s="137"/>
      <c r="S607" s="137"/>
    </row>
    <row r="608">
      <c r="M608" s="137"/>
      <c r="N608" s="137"/>
      <c r="Q608" s="137"/>
      <c r="R608" s="137"/>
      <c r="S608" s="137"/>
    </row>
    <row r="609">
      <c r="M609" s="137"/>
      <c r="N609" s="137"/>
      <c r="Q609" s="137"/>
      <c r="R609" s="137"/>
      <c r="S609" s="137"/>
    </row>
    <row r="610">
      <c r="M610" s="137"/>
      <c r="N610" s="137"/>
      <c r="Q610" s="137"/>
      <c r="R610" s="137"/>
      <c r="S610" s="137"/>
    </row>
    <row r="611">
      <c r="M611" s="137"/>
      <c r="N611" s="137"/>
      <c r="Q611" s="137"/>
      <c r="R611" s="137"/>
      <c r="S611" s="137"/>
    </row>
    <row r="612">
      <c r="M612" s="137"/>
      <c r="N612" s="137"/>
      <c r="Q612" s="137"/>
      <c r="R612" s="137"/>
      <c r="S612" s="137"/>
    </row>
    <row r="613">
      <c r="M613" s="137"/>
      <c r="N613" s="137"/>
      <c r="Q613" s="137"/>
      <c r="R613" s="137"/>
      <c r="S613" s="137"/>
    </row>
    <row r="614">
      <c r="M614" s="137"/>
      <c r="N614" s="137"/>
      <c r="Q614" s="137"/>
      <c r="R614" s="137"/>
      <c r="S614" s="137"/>
    </row>
    <row r="615">
      <c r="M615" s="137"/>
      <c r="N615" s="137"/>
      <c r="Q615" s="137"/>
      <c r="R615" s="137"/>
      <c r="S615" s="137"/>
    </row>
    <row r="616">
      <c r="M616" s="137"/>
      <c r="N616" s="137"/>
      <c r="Q616" s="137"/>
      <c r="R616" s="137"/>
      <c r="S616" s="137"/>
    </row>
    <row r="617">
      <c r="M617" s="137"/>
      <c r="N617" s="137"/>
      <c r="Q617" s="137"/>
      <c r="R617" s="137"/>
      <c r="S617" s="137"/>
    </row>
    <row r="618">
      <c r="M618" s="137"/>
      <c r="N618" s="137"/>
      <c r="Q618" s="137"/>
      <c r="R618" s="137"/>
      <c r="S618" s="137"/>
    </row>
    <row r="619">
      <c r="M619" s="137"/>
      <c r="N619" s="137"/>
      <c r="Q619" s="137"/>
      <c r="R619" s="137"/>
      <c r="S619" s="137"/>
    </row>
    <row r="620">
      <c r="M620" s="137"/>
      <c r="N620" s="137"/>
      <c r="Q620" s="137"/>
      <c r="R620" s="137"/>
      <c r="S620" s="137"/>
    </row>
    <row r="621">
      <c r="M621" s="137"/>
      <c r="N621" s="137"/>
      <c r="Q621" s="137"/>
      <c r="R621" s="137"/>
      <c r="S621" s="137"/>
    </row>
    <row r="622">
      <c r="M622" s="137"/>
      <c r="N622" s="137"/>
      <c r="Q622" s="137"/>
      <c r="R622" s="137"/>
      <c r="S622" s="137"/>
    </row>
    <row r="623">
      <c r="M623" s="137"/>
      <c r="N623" s="137"/>
      <c r="Q623" s="137"/>
      <c r="R623" s="137"/>
      <c r="S623" s="137"/>
    </row>
    <row r="624">
      <c r="M624" s="137"/>
      <c r="N624" s="137"/>
      <c r="Q624" s="137"/>
      <c r="R624" s="137"/>
      <c r="S624" s="137"/>
    </row>
    <row r="625">
      <c r="M625" s="137"/>
      <c r="N625" s="137"/>
      <c r="Q625" s="137"/>
      <c r="R625" s="137"/>
      <c r="S625" s="137"/>
    </row>
    <row r="626">
      <c r="M626" s="137"/>
      <c r="N626" s="137"/>
      <c r="Q626" s="137"/>
      <c r="R626" s="137"/>
      <c r="S626" s="137"/>
    </row>
    <row r="627">
      <c r="M627" s="137"/>
      <c r="N627" s="137"/>
      <c r="Q627" s="137"/>
      <c r="R627" s="137"/>
      <c r="S627" s="137"/>
    </row>
    <row r="628">
      <c r="M628" s="137"/>
      <c r="N628" s="137"/>
      <c r="Q628" s="137"/>
      <c r="R628" s="137"/>
      <c r="S628" s="137"/>
    </row>
    <row r="629">
      <c r="M629" s="137"/>
      <c r="N629" s="137"/>
      <c r="Q629" s="137"/>
      <c r="R629" s="137"/>
      <c r="S629" s="137"/>
    </row>
    <row r="630">
      <c r="M630" s="137"/>
      <c r="N630" s="137"/>
      <c r="Q630" s="137"/>
      <c r="R630" s="137"/>
      <c r="S630" s="137"/>
    </row>
    <row r="631">
      <c r="M631" s="137"/>
      <c r="N631" s="137"/>
      <c r="Q631" s="137"/>
      <c r="R631" s="137"/>
      <c r="S631" s="137"/>
    </row>
    <row r="632">
      <c r="M632" s="137"/>
      <c r="N632" s="137"/>
      <c r="Q632" s="137"/>
      <c r="R632" s="137"/>
      <c r="S632" s="137"/>
    </row>
    <row r="633">
      <c r="M633" s="137"/>
      <c r="N633" s="137"/>
      <c r="Q633" s="137"/>
      <c r="R633" s="137"/>
      <c r="S633" s="137"/>
    </row>
    <row r="634">
      <c r="M634" s="137"/>
      <c r="N634" s="137"/>
      <c r="Q634" s="137"/>
      <c r="R634" s="137"/>
      <c r="S634" s="137"/>
    </row>
    <row r="635">
      <c r="M635" s="137"/>
      <c r="N635" s="137"/>
      <c r="Q635" s="137"/>
      <c r="R635" s="137"/>
      <c r="S635" s="137"/>
    </row>
    <row r="636">
      <c r="M636" s="137"/>
      <c r="N636" s="137"/>
      <c r="Q636" s="137"/>
      <c r="R636" s="137"/>
      <c r="S636" s="137"/>
    </row>
    <row r="637">
      <c r="M637" s="137"/>
      <c r="N637" s="137"/>
      <c r="Q637" s="137"/>
      <c r="R637" s="137"/>
      <c r="S637" s="137"/>
    </row>
    <row r="638">
      <c r="M638" s="137"/>
      <c r="N638" s="137"/>
      <c r="Q638" s="137"/>
      <c r="R638" s="137"/>
      <c r="S638" s="137"/>
    </row>
    <row r="639">
      <c r="M639" s="137"/>
      <c r="N639" s="137"/>
      <c r="Q639" s="137"/>
      <c r="R639" s="137"/>
      <c r="S639" s="137"/>
    </row>
    <row r="640">
      <c r="M640" s="137"/>
      <c r="N640" s="137"/>
      <c r="Q640" s="137"/>
      <c r="R640" s="137"/>
      <c r="S640" s="137"/>
    </row>
    <row r="641">
      <c r="M641" s="137"/>
      <c r="N641" s="137"/>
      <c r="Q641" s="137"/>
      <c r="R641" s="137"/>
      <c r="S641" s="137"/>
    </row>
    <row r="642">
      <c r="M642" s="137"/>
      <c r="N642" s="137"/>
      <c r="Q642" s="137"/>
      <c r="R642" s="137"/>
      <c r="S642" s="137"/>
    </row>
    <row r="643">
      <c r="M643" s="137"/>
      <c r="N643" s="137"/>
      <c r="Q643" s="137"/>
      <c r="R643" s="137"/>
      <c r="S643" s="137"/>
    </row>
    <row r="644">
      <c r="M644" s="137"/>
      <c r="N644" s="137"/>
      <c r="Q644" s="137"/>
      <c r="R644" s="137"/>
      <c r="S644" s="137"/>
    </row>
    <row r="645">
      <c r="M645" s="137"/>
      <c r="N645" s="137"/>
      <c r="Q645" s="137"/>
      <c r="R645" s="137"/>
      <c r="S645" s="137"/>
    </row>
    <row r="646">
      <c r="M646" s="137"/>
      <c r="N646" s="137"/>
      <c r="Q646" s="137"/>
      <c r="R646" s="137"/>
      <c r="S646" s="137"/>
    </row>
    <row r="647">
      <c r="M647" s="137"/>
      <c r="N647" s="137"/>
      <c r="Q647" s="137"/>
      <c r="R647" s="137"/>
      <c r="S647" s="137"/>
    </row>
    <row r="648">
      <c r="M648" s="137"/>
      <c r="N648" s="137"/>
      <c r="Q648" s="137"/>
      <c r="R648" s="137"/>
      <c r="S648" s="137"/>
    </row>
    <row r="649">
      <c r="M649" s="137"/>
      <c r="N649" s="137"/>
      <c r="Q649" s="137"/>
      <c r="R649" s="137"/>
      <c r="S649" s="137"/>
    </row>
    <row r="650">
      <c r="M650" s="137"/>
      <c r="N650" s="137"/>
      <c r="Q650" s="137"/>
      <c r="R650" s="137"/>
      <c r="S650" s="137"/>
    </row>
    <row r="651">
      <c r="M651" s="137"/>
      <c r="N651" s="137"/>
      <c r="Q651" s="137"/>
      <c r="R651" s="137"/>
      <c r="S651" s="137"/>
    </row>
    <row r="652">
      <c r="M652" s="137"/>
      <c r="N652" s="137"/>
      <c r="Q652" s="137"/>
      <c r="R652" s="137"/>
      <c r="S652" s="137"/>
    </row>
    <row r="653">
      <c r="M653" s="137"/>
      <c r="N653" s="137"/>
      <c r="Q653" s="137"/>
      <c r="R653" s="137"/>
      <c r="S653" s="137"/>
    </row>
    <row r="654">
      <c r="M654" s="137"/>
      <c r="N654" s="137"/>
      <c r="Q654" s="137"/>
      <c r="R654" s="137"/>
      <c r="S654" s="137"/>
    </row>
    <row r="655">
      <c r="M655" s="137"/>
      <c r="N655" s="137"/>
      <c r="Q655" s="137"/>
      <c r="R655" s="137"/>
      <c r="S655" s="137"/>
    </row>
    <row r="656">
      <c r="M656" s="137"/>
      <c r="N656" s="137"/>
      <c r="Q656" s="137"/>
      <c r="R656" s="137"/>
      <c r="S656" s="137"/>
    </row>
    <row r="657">
      <c r="M657" s="137"/>
      <c r="N657" s="137"/>
      <c r="Q657" s="137"/>
      <c r="R657" s="137"/>
      <c r="S657" s="137"/>
    </row>
    <row r="658">
      <c r="M658" s="137"/>
      <c r="N658" s="137"/>
      <c r="Q658" s="137"/>
      <c r="R658" s="137"/>
      <c r="S658" s="137"/>
    </row>
    <row r="659">
      <c r="M659" s="137"/>
      <c r="N659" s="137"/>
      <c r="Q659" s="137"/>
      <c r="R659" s="137"/>
      <c r="S659" s="137"/>
    </row>
    <row r="660">
      <c r="M660" s="137"/>
      <c r="N660" s="137"/>
      <c r="Q660" s="137"/>
      <c r="R660" s="137"/>
      <c r="S660" s="137"/>
    </row>
    <row r="661">
      <c r="M661" s="137"/>
      <c r="N661" s="137"/>
      <c r="Q661" s="137"/>
      <c r="R661" s="137"/>
      <c r="S661" s="137"/>
    </row>
    <row r="662">
      <c r="M662" s="137"/>
      <c r="N662" s="137"/>
      <c r="Q662" s="137"/>
      <c r="R662" s="137"/>
      <c r="S662" s="137"/>
    </row>
    <row r="663">
      <c r="M663" s="137"/>
      <c r="N663" s="137"/>
      <c r="Q663" s="137"/>
      <c r="R663" s="137"/>
      <c r="S663" s="137"/>
    </row>
    <row r="664">
      <c r="M664" s="137"/>
      <c r="N664" s="137"/>
      <c r="Q664" s="137"/>
      <c r="R664" s="137"/>
      <c r="S664" s="137"/>
    </row>
    <row r="665">
      <c r="M665" s="137"/>
      <c r="N665" s="137"/>
      <c r="Q665" s="137"/>
      <c r="R665" s="137"/>
      <c r="S665" s="137"/>
    </row>
    <row r="666">
      <c r="M666" s="137"/>
      <c r="N666" s="137"/>
      <c r="Q666" s="137"/>
      <c r="R666" s="137"/>
      <c r="S666" s="137"/>
    </row>
    <row r="667">
      <c r="M667" s="137"/>
      <c r="N667" s="137"/>
      <c r="Q667" s="137"/>
      <c r="R667" s="137"/>
      <c r="S667" s="137"/>
    </row>
    <row r="668">
      <c r="M668" s="137"/>
      <c r="N668" s="137"/>
      <c r="Q668" s="137"/>
      <c r="R668" s="137"/>
      <c r="S668" s="137"/>
    </row>
    <row r="669">
      <c r="M669" s="137"/>
      <c r="N669" s="137"/>
      <c r="Q669" s="137"/>
      <c r="R669" s="137"/>
      <c r="S669" s="137"/>
    </row>
    <row r="670">
      <c r="M670" s="137"/>
      <c r="N670" s="137"/>
      <c r="Q670" s="137"/>
      <c r="R670" s="137"/>
      <c r="S670" s="137"/>
    </row>
    <row r="671">
      <c r="M671" s="137"/>
      <c r="N671" s="137"/>
      <c r="Q671" s="137"/>
      <c r="R671" s="137"/>
      <c r="S671" s="137"/>
    </row>
    <row r="672">
      <c r="M672" s="137"/>
      <c r="N672" s="137"/>
      <c r="Q672" s="137"/>
      <c r="R672" s="137"/>
      <c r="S672" s="137"/>
    </row>
    <row r="673">
      <c r="M673" s="137"/>
      <c r="N673" s="137"/>
      <c r="Q673" s="137"/>
      <c r="R673" s="137"/>
      <c r="S673" s="137"/>
    </row>
    <row r="674">
      <c r="M674" s="137"/>
      <c r="N674" s="137"/>
      <c r="Q674" s="137"/>
      <c r="R674" s="137"/>
      <c r="S674" s="137"/>
    </row>
    <row r="675">
      <c r="M675" s="137"/>
      <c r="N675" s="137"/>
      <c r="Q675" s="137"/>
      <c r="R675" s="137"/>
      <c r="S675" s="137"/>
    </row>
    <row r="676">
      <c r="M676" s="137"/>
      <c r="N676" s="137"/>
      <c r="Q676" s="137"/>
      <c r="R676" s="137"/>
      <c r="S676" s="137"/>
    </row>
    <row r="677">
      <c r="M677" s="137"/>
      <c r="N677" s="137"/>
      <c r="Q677" s="137"/>
      <c r="R677" s="137"/>
      <c r="S677" s="137"/>
    </row>
    <row r="678">
      <c r="M678" s="137"/>
      <c r="N678" s="137"/>
      <c r="Q678" s="137"/>
      <c r="R678" s="137"/>
      <c r="S678" s="137"/>
    </row>
    <row r="679">
      <c r="M679" s="137"/>
      <c r="N679" s="137"/>
      <c r="Q679" s="137"/>
      <c r="R679" s="137"/>
      <c r="S679" s="137"/>
    </row>
    <row r="680">
      <c r="M680" s="137"/>
      <c r="N680" s="137"/>
      <c r="Q680" s="137"/>
      <c r="R680" s="137"/>
      <c r="S680" s="137"/>
    </row>
    <row r="681">
      <c r="M681" s="137"/>
      <c r="N681" s="137"/>
      <c r="Q681" s="137"/>
      <c r="R681" s="137"/>
      <c r="S681" s="137"/>
    </row>
    <row r="682">
      <c r="M682" s="137"/>
      <c r="N682" s="137"/>
      <c r="Q682" s="137"/>
      <c r="R682" s="137"/>
      <c r="S682" s="137"/>
    </row>
    <row r="683">
      <c r="M683" s="137"/>
      <c r="N683" s="137"/>
      <c r="Q683" s="137"/>
      <c r="R683" s="137"/>
      <c r="S683" s="137"/>
    </row>
    <row r="684">
      <c r="M684" s="137"/>
      <c r="N684" s="137"/>
      <c r="Q684" s="137"/>
      <c r="R684" s="137"/>
      <c r="S684" s="137"/>
    </row>
    <row r="685">
      <c r="M685" s="137"/>
      <c r="N685" s="137"/>
      <c r="Q685" s="137"/>
      <c r="R685" s="137"/>
      <c r="S685" s="137"/>
    </row>
    <row r="686">
      <c r="M686" s="137"/>
      <c r="N686" s="137"/>
      <c r="Q686" s="137"/>
      <c r="R686" s="137"/>
      <c r="S686" s="137"/>
    </row>
    <row r="687">
      <c r="M687" s="137"/>
      <c r="N687" s="137"/>
      <c r="Q687" s="137"/>
      <c r="R687" s="137"/>
      <c r="S687" s="137"/>
    </row>
    <row r="688">
      <c r="M688" s="137"/>
      <c r="N688" s="137"/>
      <c r="Q688" s="137"/>
      <c r="R688" s="137"/>
      <c r="S688" s="137"/>
    </row>
    <row r="689">
      <c r="M689" s="137"/>
      <c r="N689" s="137"/>
      <c r="Q689" s="137"/>
      <c r="R689" s="137"/>
      <c r="S689" s="137"/>
    </row>
    <row r="690">
      <c r="M690" s="137"/>
      <c r="N690" s="137"/>
      <c r="Q690" s="137"/>
      <c r="R690" s="137"/>
      <c r="S690" s="137"/>
    </row>
    <row r="691">
      <c r="M691" s="137"/>
      <c r="N691" s="137"/>
      <c r="Q691" s="137"/>
      <c r="R691" s="137"/>
      <c r="S691" s="137"/>
    </row>
    <row r="692">
      <c r="M692" s="137"/>
      <c r="N692" s="137"/>
      <c r="Q692" s="137"/>
      <c r="R692" s="137"/>
      <c r="S692" s="137"/>
    </row>
    <row r="693">
      <c r="M693" s="137"/>
      <c r="N693" s="137"/>
      <c r="Q693" s="137"/>
      <c r="R693" s="137"/>
      <c r="S693" s="137"/>
    </row>
    <row r="694">
      <c r="M694" s="137"/>
      <c r="N694" s="137"/>
      <c r="Q694" s="137"/>
      <c r="R694" s="137"/>
      <c r="S694" s="137"/>
    </row>
    <row r="695">
      <c r="M695" s="137"/>
      <c r="N695" s="137"/>
      <c r="Q695" s="137"/>
      <c r="R695" s="137"/>
      <c r="S695" s="137"/>
    </row>
    <row r="696">
      <c r="M696" s="137"/>
      <c r="N696" s="137"/>
      <c r="Q696" s="137"/>
      <c r="R696" s="137"/>
      <c r="S696" s="137"/>
    </row>
    <row r="697">
      <c r="M697" s="137"/>
      <c r="N697" s="137"/>
      <c r="Q697" s="137"/>
      <c r="R697" s="137"/>
      <c r="S697" s="137"/>
    </row>
    <row r="698">
      <c r="M698" s="137"/>
      <c r="N698" s="137"/>
      <c r="Q698" s="137"/>
      <c r="R698" s="137"/>
      <c r="S698" s="137"/>
    </row>
    <row r="699">
      <c r="M699" s="137"/>
      <c r="N699" s="137"/>
      <c r="Q699" s="137"/>
      <c r="R699" s="137"/>
      <c r="S699" s="137"/>
    </row>
    <row r="700">
      <c r="M700" s="137"/>
      <c r="N700" s="137"/>
      <c r="Q700" s="137"/>
      <c r="R700" s="137"/>
      <c r="S700" s="137"/>
    </row>
    <row r="701">
      <c r="M701" s="137"/>
      <c r="N701" s="137"/>
      <c r="Q701" s="137"/>
      <c r="R701" s="137"/>
      <c r="S701" s="137"/>
    </row>
    <row r="702">
      <c r="M702" s="137"/>
      <c r="N702" s="137"/>
      <c r="Q702" s="137"/>
      <c r="R702" s="137"/>
      <c r="S702" s="137"/>
    </row>
    <row r="703">
      <c r="M703" s="137"/>
      <c r="N703" s="137"/>
      <c r="Q703" s="137"/>
      <c r="R703" s="137"/>
      <c r="S703" s="137"/>
    </row>
    <row r="704">
      <c r="M704" s="137"/>
      <c r="N704" s="137"/>
      <c r="Q704" s="137"/>
      <c r="R704" s="137"/>
      <c r="S704" s="137"/>
    </row>
    <row r="705">
      <c r="M705" s="137"/>
      <c r="N705" s="137"/>
      <c r="Q705" s="137"/>
      <c r="R705" s="137"/>
      <c r="S705" s="137"/>
    </row>
    <row r="706">
      <c r="M706" s="137"/>
      <c r="N706" s="137"/>
      <c r="Q706" s="137"/>
      <c r="R706" s="137"/>
      <c r="S706" s="137"/>
    </row>
    <row r="707">
      <c r="M707" s="137"/>
      <c r="N707" s="137"/>
      <c r="Q707" s="137"/>
      <c r="R707" s="137"/>
      <c r="S707" s="137"/>
    </row>
    <row r="708">
      <c r="M708" s="137"/>
      <c r="N708" s="137"/>
      <c r="Q708" s="137"/>
      <c r="R708" s="137"/>
      <c r="S708" s="137"/>
    </row>
    <row r="709">
      <c r="M709" s="137"/>
      <c r="N709" s="137"/>
      <c r="Q709" s="137"/>
      <c r="R709" s="137"/>
      <c r="S709" s="137"/>
    </row>
    <row r="710">
      <c r="M710" s="137"/>
      <c r="N710" s="137"/>
      <c r="Q710" s="137"/>
      <c r="R710" s="137"/>
      <c r="S710" s="137"/>
    </row>
    <row r="711">
      <c r="M711" s="137"/>
      <c r="N711" s="137"/>
      <c r="Q711" s="137"/>
      <c r="R711" s="137"/>
      <c r="S711" s="137"/>
    </row>
    <row r="712">
      <c r="M712" s="137"/>
      <c r="N712" s="137"/>
      <c r="Q712" s="137"/>
      <c r="R712" s="137"/>
      <c r="S712" s="137"/>
    </row>
    <row r="713">
      <c r="M713" s="137"/>
      <c r="N713" s="137"/>
      <c r="Q713" s="137"/>
      <c r="R713" s="137"/>
      <c r="S713" s="137"/>
    </row>
    <row r="714">
      <c r="M714" s="137"/>
      <c r="N714" s="137"/>
      <c r="Q714" s="137"/>
      <c r="R714" s="137"/>
      <c r="S714" s="137"/>
    </row>
    <row r="715">
      <c r="M715" s="137"/>
      <c r="N715" s="137"/>
      <c r="Q715" s="137"/>
      <c r="R715" s="137"/>
      <c r="S715" s="137"/>
    </row>
    <row r="716">
      <c r="M716" s="137"/>
      <c r="N716" s="137"/>
      <c r="Q716" s="137"/>
      <c r="R716" s="137"/>
      <c r="S716" s="137"/>
    </row>
    <row r="717">
      <c r="M717" s="137"/>
      <c r="N717" s="137"/>
      <c r="Q717" s="137"/>
      <c r="R717" s="137"/>
      <c r="S717" s="137"/>
    </row>
    <row r="718">
      <c r="M718" s="137"/>
      <c r="N718" s="137"/>
      <c r="Q718" s="137"/>
      <c r="R718" s="137"/>
      <c r="S718" s="137"/>
    </row>
    <row r="719">
      <c r="M719" s="137"/>
      <c r="N719" s="137"/>
      <c r="Q719" s="137"/>
      <c r="R719" s="137"/>
      <c r="S719" s="137"/>
    </row>
    <row r="720">
      <c r="M720" s="137"/>
      <c r="N720" s="137"/>
      <c r="Q720" s="137"/>
      <c r="R720" s="137"/>
      <c r="S720" s="137"/>
    </row>
    <row r="721">
      <c r="M721" s="137"/>
      <c r="N721" s="137"/>
      <c r="Q721" s="137"/>
      <c r="R721" s="137"/>
      <c r="S721" s="137"/>
    </row>
    <row r="722">
      <c r="M722" s="137"/>
      <c r="N722" s="137"/>
      <c r="Q722" s="137"/>
      <c r="R722" s="137"/>
      <c r="S722" s="137"/>
    </row>
    <row r="723">
      <c r="M723" s="137"/>
      <c r="N723" s="137"/>
      <c r="Q723" s="137"/>
      <c r="R723" s="137"/>
      <c r="S723" s="137"/>
    </row>
    <row r="724">
      <c r="M724" s="137"/>
      <c r="N724" s="137"/>
      <c r="Q724" s="137"/>
      <c r="R724" s="137"/>
      <c r="S724" s="137"/>
    </row>
    <row r="725">
      <c r="M725" s="137"/>
      <c r="N725" s="137"/>
      <c r="Q725" s="137"/>
      <c r="R725" s="137"/>
      <c r="S725" s="137"/>
    </row>
    <row r="726">
      <c r="M726" s="137"/>
      <c r="N726" s="137"/>
      <c r="Q726" s="137"/>
      <c r="R726" s="137"/>
      <c r="S726" s="137"/>
    </row>
    <row r="727">
      <c r="M727" s="137"/>
      <c r="N727" s="137"/>
      <c r="Q727" s="137"/>
      <c r="R727" s="137"/>
      <c r="S727" s="137"/>
    </row>
    <row r="728">
      <c r="M728" s="137"/>
      <c r="N728" s="137"/>
      <c r="Q728" s="137"/>
      <c r="R728" s="137"/>
      <c r="S728" s="137"/>
    </row>
    <row r="729">
      <c r="M729" s="137"/>
      <c r="N729" s="137"/>
      <c r="Q729" s="137"/>
      <c r="R729" s="137"/>
      <c r="S729" s="137"/>
    </row>
    <row r="730">
      <c r="M730" s="137"/>
      <c r="N730" s="137"/>
      <c r="Q730" s="137"/>
      <c r="R730" s="137"/>
      <c r="S730" s="137"/>
    </row>
    <row r="731">
      <c r="M731" s="137"/>
      <c r="N731" s="137"/>
      <c r="Q731" s="137"/>
      <c r="R731" s="137"/>
      <c r="S731" s="137"/>
    </row>
    <row r="732">
      <c r="M732" s="137"/>
      <c r="N732" s="137"/>
      <c r="Q732" s="137"/>
      <c r="R732" s="137"/>
      <c r="S732" s="137"/>
    </row>
    <row r="733">
      <c r="M733" s="137"/>
      <c r="N733" s="137"/>
      <c r="Q733" s="137"/>
      <c r="R733" s="137"/>
      <c r="S733" s="137"/>
    </row>
    <row r="734">
      <c r="M734" s="137"/>
      <c r="N734" s="137"/>
      <c r="Q734" s="137"/>
      <c r="R734" s="137"/>
      <c r="S734" s="137"/>
    </row>
    <row r="735">
      <c r="M735" s="137"/>
      <c r="N735" s="137"/>
      <c r="Q735" s="137"/>
      <c r="R735" s="137"/>
      <c r="S735" s="137"/>
    </row>
    <row r="736">
      <c r="M736" s="137"/>
      <c r="N736" s="137"/>
      <c r="Q736" s="137"/>
      <c r="R736" s="137"/>
      <c r="S736" s="137"/>
    </row>
    <row r="737">
      <c r="M737" s="137"/>
      <c r="N737" s="137"/>
      <c r="Q737" s="137"/>
      <c r="R737" s="137"/>
      <c r="S737" s="137"/>
    </row>
    <row r="738">
      <c r="M738" s="137"/>
      <c r="N738" s="137"/>
      <c r="Q738" s="137"/>
      <c r="R738" s="137"/>
      <c r="S738" s="137"/>
    </row>
    <row r="739">
      <c r="M739" s="137"/>
      <c r="N739" s="137"/>
      <c r="Q739" s="137"/>
      <c r="R739" s="137"/>
      <c r="S739" s="137"/>
    </row>
    <row r="740">
      <c r="M740" s="137"/>
      <c r="N740" s="137"/>
      <c r="Q740" s="137"/>
      <c r="R740" s="137"/>
      <c r="S740" s="137"/>
    </row>
    <row r="741">
      <c r="M741" s="137"/>
      <c r="N741" s="137"/>
      <c r="Q741" s="137"/>
      <c r="R741" s="137"/>
      <c r="S741" s="137"/>
    </row>
    <row r="742">
      <c r="M742" s="137"/>
      <c r="N742" s="137"/>
      <c r="Q742" s="137"/>
      <c r="R742" s="137"/>
      <c r="S742" s="137"/>
    </row>
    <row r="743">
      <c r="M743" s="137"/>
      <c r="N743" s="137"/>
      <c r="Q743" s="137"/>
      <c r="R743" s="137"/>
      <c r="S743" s="137"/>
    </row>
    <row r="744">
      <c r="M744" s="137"/>
      <c r="N744" s="137"/>
      <c r="Q744" s="137"/>
      <c r="R744" s="137"/>
      <c r="S744" s="137"/>
    </row>
    <row r="745">
      <c r="M745" s="137"/>
      <c r="N745" s="137"/>
      <c r="Q745" s="137"/>
      <c r="R745" s="137"/>
      <c r="S745" s="137"/>
    </row>
    <row r="746">
      <c r="M746" s="137"/>
      <c r="N746" s="137"/>
      <c r="Q746" s="137"/>
      <c r="R746" s="137"/>
      <c r="S746" s="137"/>
    </row>
    <row r="747">
      <c r="M747" s="137"/>
      <c r="N747" s="137"/>
      <c r="Q747" s="137"/>
      <c r="R747" s="137"/>
      <c r="S747" s="137"/>
    </row>
    <row r="748">
      <c r="M748" s="137"/>
      <c r="N748" s="137"/>
      <c r="Q748" s="137"/>
      <c r="R748" s="137"/>
      <c r="S748" s="137"/>
    </row>
    <row r="749">
      <c r="M749" s="137"/>
      <c r="N749" s="137"/>
      <c r="Q749" s="137"/>
      <c r="R749" s="137"/>
      <c r="S749" s="137"/>
    </row>
    <row r="750">
      <c r="M750" s="137"/>
      <c r="N750" s="137"/>
      <c r="Q750" s="137"/>
      <c r="R750" s="137"/>
      <c r="S750" s="137"/>
    </row>
    <row r="751">
      <c r="M751" s="137"/>
      <c r="N751" s="137"/>
      <c r="Q751" s="137"/>
      <c r="R751" s="137"/>
      <c r="S751" s="137"/>
    </row>
    <row r="752">
      <c r="M752" s="137"/>
      <c r="N752" s="137"/>
      <c r="Q752" s="137"/>
      <c r="R752" s="137"/>
      <c r="S752" s="137"/>
    </row>
    <row r="753">
      <c r="M753" s="137"/>
      <c r="N753" s="137"/>
      <c r="Q753" s="137"/>
      <c r="R753" s="137"/>
      <c r="S753" s="137"/>
    </row>
    <row r="754">
      <c r="M754" s="137"/>
      <c r="N754" s="137"/>
      <c r="Q754" s="137"/>
      <c r="R754" s="137"/>
      <c r="S754" s="137"/>
    </row>
    <row r="755">
      <c r="M755" s="137"/>
      <c r="N755" s="137"/>
      <c r="Q755" s="137"/>
      <c r="R755" s="137"/>
      <c r="S755" s="137"/>
    </row>
    <row r="756">
      <c r="M756" s="137"/>
      <c r="N756" s="137"/>
      <c r="Q756" s="137"/>
      <c r="R756" s="137"/>
      <c r="S756" s="137"/>
    </row>
    <row r="757">
      <c r="M757" s="137"/>
      <c r="N757" s="137"/>
      <c r="Q757" s="137"/>
      <c r="R757" s="137"/>
      <c r="S757" s="137"/>
    </row>
    <row r="758">
      <c r="M758" s="137"/>
      <c r="N758" s="137"/>
      <c r="Q758" s="137"/>
      <c r="R758" s="137"/>
      <c r="S758" s="137"/>
    </row>
    <row r="759">
      <c r="M759" s="137"/>
      <c r="N759" s="137"/>
      <c r="Q759" s="137"/>
      <c r="R759" s="137"/>
      <c r="S759" s="137"/>
    </row>
    <row r="760">
      <c r="M760" s="137"/>
      <c r="N760" s="137"/>
      <c r="Q760" s="137"/>
      <c r="R760" s="137"/>
      <c r="S760" s="137"/>
    </row>
    <row r="761">
      <c r="M761" s="137"/>
      <c r="N761" s="137"/>
      <c r="Q761" s="137"/>
      <c r="R761" s="137"/>
      <c r="S761" s="137"/>
    </row>
    <row r="762">
      <c r="M762" s="137"/>
      <c r="N762" s="137"/>
      <c r="Q762" s="137"/>
      <c r="R762" s="137"/>
      <c r="S762" s="137"/>
    </row>
    <row r="763">
      <c r="M763" s="137"/>
      <c r="N763" s="137"/>
      <c r="Q763" s="137"/>
      <c r="R763" s="137"/>
      <c r="S763" s="137"/>
    </row>
    <row r="764">
      <c r="M764" s="137"/>
      <c r="N764" s="137"/>
      <c r="Q764" s="137"/>
      <c r="R764" s="137"/>
      <c r="S764" s="137"/>
    </row>
    <row r="765">
      <c r="M765" s="137"/>
      <c r="N765" s="137"/>
      <c r="Q765" s="137"/>
      <c r="R765" s="137"/>
      <c r="S765" s="137"/>
    </row>
    <row r="766">
      <c r="M766" s="137"/>
      <c r="N766" s="137"/>
      <c r="Q766" s="137"/>
      <c r="R766" s="137"/>
      <c r="S766" s="137"/>
    </row>
    <row r="767">
      <c r="M767" s="137"/>
      <c r="N767" s="137"/>
      <c r="Q767" s="137"/>
      <c r="R767" s="137"/>
      <c r="S767" s="137"/>
    </row>
    <row r="768">
      <c r="M768" s="137"/>
      <c r="N768" s="137"/>
      <c r="Q768" s="137"/>
      <c r="R768" s="137"/>
      <c r="S768" s="137"/>
    </row>
    <row r="769">
      <c r="M769" s="137"/>
      <c r="N769" s="137"/>
      <c r="Q769" s="137"/>
      <c r="R769" s="137"/>
      <c r="S769" s="137"/>
    </row>
    <row r="770">
      <c r="M770" s="137"/>
      <c r="N770" s="137"/>
      <c r="Q770" s="137"/>
      <c r="R770" s="137"/>
      <c r="S770" s="137"/>
    </row>
    <row r="771">
      <c r="M771" s="137"/>
      <c r="N771" s="137"/>
      <c r="Q771" s="137"/>
      <c r="R771" s="137"/>
      <c r="S771" s="137"/>
    </row>
    <row r="772">
      <c r="M772" s="137"/>
      <c r="N772" s="137"/>
      <c r="Q772" s="137"/>
      <c r="R772" s="137"/>
      <c r="S772" s="137"/>
    </row>
    <row r="773">
      <c r="M773" s="137"/>
      <c r="N773" s="137"/>
      <c r="Q773" s="137"/>
      <c r="R773" s="137"/>
      <c r="S773" s="137"/>
    </row>
    <row r="774">
      <c r="M774" s="137"/>
      <c r="N774" s="137"/>
      <c r="Q774" s="137"/>
      <c r="R774" s="137"/>
      <c r="S774" s="137"/>
    </row>
    <row r="775">
      <c r="M775" s="137"/>
      <c r="N775" s="137"/>
      <c r="Q775" s="137"/>
      <c r="R775" s="137"/>
      <c r="S775" s="137"/>
    </row>
    <row r="776">
      <c r="M776" s="137"/>
      <c r="N776" s="137"/>
      <c r="Q776" s="137"/>
      <c r="R776" s="137"/>
      <c r="S776" s="137"/>
    </row>
    <row r="777">
      <c r="M777" s="137"/>
      <c r="N777" s="137"/>
      <c r="Q777" s="137"/>
      <c r="R777" s="137"/>
      <c r="S777" s="137"/>
    </row>
    <row r="778">
      <c r="M778" s="137"/>
      <c r="N778" s="137"/>
      <c r="Q778" s="137"/>
      <c r="R778" s="137"/>
      <c r="S778" s="137"/>
    </row>
    <row r="779">
      <c r="M779" s="137"/>
      <c r="N779" s="137"/>
      <c r="Q779" s="137"/>
      <c r="R779" s="137"/>
      <c r="S779" s="137"/>
    </row>
    <row r="780">
      <c r="M780" s="137"/>
      <c r="N780" s="137"/>
      <c r="Q780" s="137"/>
      <c r="R780" s="137"/>
      <c r="S780" s="137"/>
    </row>
    <row r="781">
      <c r="M781" s="137"/>
      <c r="N781" s="137"/>
      <c r="Q781" s="137"/>
      <c r="R781" s="137"/>
      <c r="S781" s="137"/>
    </row>
    <row r="782">
      <c r="M782" s="137"/>
      <c r="N782" s="137"/>
      <c r="Q782" s="137"/>
      <c r="R782" s="137"/>
      <c r="S782" s="137"/>
    </row>
    <row r="783">
      <c r="M783" s="137"/>
      <c r="N783" s="137"/>
      <c r="Q783" s="137"/>
      <c r="R783" s="137"/>
      <c r="S783" s="137"/>
    </row>
    <row r="784">
      <c r="M784" s="137"/>
      <c r="N784" s="137"/>
      <c r="Q784" s="137"/>
      <c r="R784" s="137"/>
      <c r="S784" s="137"/>
    </row>
    <row r="785">
      <c r="M785" s="137"/>
      <c r="N785" s="137"/>
      <c r="Q785" s="137"/>
      <c r="R785" s="137"/>
      <c r="S785" s="137"/>
    </row>
    <row r="786">
      <c r="M786" s="137"/>
      <c r="N786" s="137"/>
      <c r="Q786" s="137"/>
      <c r="R786" s="137"/>
      <c r="S786" s="137"/>
    </row>
    <row r="787">
      <c r="M787" s="137"/>
      <c r="N787" s="137"/>
      <c r="Q787" s="137"/>
      <c r="R787" s="137"/>
      <c r="S787" s="137"/>
    </row>
    <row r="788">
      <c r="M788" s="137"/>
      <c r="N788" s="137"/>
      <c r="Q788" s="137"/>
      <c r="R788" s="137"/>
      <c r="S788" s="137"/>
    </row>
    <row r="789">
      <c r="M789" s="137"/>
      <c r="N789" s="137"/>
      <c r="Q789" s="137"/>
      <c r="R789" s="137"/>
      <c r="S789" s="137"/>
    </row>
    <row r="790">
      <c r="M790" s="137"/>
      <c r="N790" s="137"/>
      <c r="Q790" s="137"/>
      <c r="R790" s="137"/>
      <c r="S790" s="137"/>
    </row>
    <row r="791">
      <c r="M791" s="137"/>
      <c r="N791" s="137"/>
      <c r="Q791" s="137"/>
      <c r="R791" s="137"/>
      <c r="S791" s="137"/>
    </row>
    <row r="792">
      <c r="M792" s="137"/>
      <c r="N792" s="137"/>
      <c r="Q792" s="137"/>
      <c r="R792" s="137"/>
      <c r="S792" s="137"/>
    </row>
    <row r="793">
      <c r="M793" s="137"/>
      <c r="N793" s="137"/>
      <c r="Q793" s="137"/>
      <c r="R793" s="137"/>
      <c r="S793" s="137"/>
    </row>
    <row r="794">
      <c r="M794" s="137"/>
      <c r="N794" s="137"/>
      <c r="Q794" s="137"/>
      <c r="R794" s="137"/>
      <c r="S794" s="137"/>
    </row>
    <row r="795">
      <c r="M795" s="137"/>
      <c r="N795" s="137"/>
      <c r="Q795" s="137"/>
      <c r="R795" s="137"/>
      <c r="S795" s="137"/>
    </row>
    <row r="796">
      <c r="M796" s="137"/>
      <c r="N796" s="137"/>
      <c r="Q796" s="137"/>
      <c r="R796" s="137"/>
      <c r="S796" s="137"/>
    </row>
    <row r="797">
      <c r="M797" s="137"/>
      <c r="N797" s="137"/>
      <c r="Q797" s="137"/>
      <c r="R797" s="137"/>
      <c r="S797" s="137"/>
    </row>
    <row r="798">
      <c r="M798" s="137"/>
      <c r="N798" s="137"/>
      <c r="Q798" s="137"/>
      <c r="R798" s="137"/>
      <c r="S798" s="137"/>
    </row>
    <row r="799">
      <c r="M799" s="137"/>
      <c r="N799" s="137"/>
      <c r="Q799" s="137"/>
      <c r="R799" s="137"/>
      <c r="S799" s="137"/>
    </row>
    <row r="800">
      <c r="M800" s="137"/>
      <c r="N800" s="137"/>
      <c r="Q800" s="137"/>
      <c r="R800" s="137"/>
      <c r="S800" s="137"/>
    </row>
    <row r="801">
      <c r="M801" s="137"/>
      <c r="N801" s="137"/>
      <c r="Q801" s="137"/>
      <c r="R801" s="137"/>
      <c r="S801" s="137"/>
    </row>
    <row r="802">
      <c r="M802" s="137"/>
      <c r="N802" s="137"/>
      <c r="Q802" s="137"/>
      <c r="R802" s="137"/>
      <c r="S802" s="137"/>
    </row>
    <row r="803">
      <c r="M803" s="137"/>
      <c r="N803" s="137"/>
      <c r="Q803" s="137"/>
      <c r="R803" s="137"/>
      <c r="S803" s="137"/>
    </row>
    <row r="804">
      <c r="M804" s="137"/>
      <c r="N804" s="137"/>
      <c r="Q804" s="137"/>
      <c r="R804" s="137"/>
      <c r="S804" s="137"/>
    </row>
    <row r="805">
      <c r="M805" s="137"/>
      <c r="N805" s="137"/>
      <c r="Q805" s="137"/>
      <c r="R805" s="137"/>
      <c r="S805" s="137"/>
    </row>
    <row r="806">
      <c r="M806" s="137"/>
      <c r="N806" s="137"/>
      <c r="Q806" s="137"/>
      <c r="R806" s="137"/>
      <c r="S806" s="137"/>
    </row>
    <row r="807">
      <c r="M807" s="137"/>
      <c r="N807" s="137"/>
      <c r="Q807" s="137"/>
      <c r="R807" s="137"/>
      <c r="S807" s="137"/>
    </row>
    <row r="808">
      <c r="M808" s="137"/>
      <c r="N808" s="137"/>
      <c r="Q808" s="137"/>
      <c r="R808" s="137"/>
      <c r="S808" s="137"/>
    </row>
    <row r="809">
      <c r="M809" s="137"/>
      <c r="N809" s="137"/>
      <c r="Q809" s="137"/>
      <c r="R809" s="137"/>
      <c r="S809" s="137"/>
    </row>
    <row r="810">
      <c r="M810" s="137"/>
      <c r="N810" s="137"/>
      <c r="Q810" s="137"/>
      <c r="R810" s="137"/>
      <c r="S810" s="137"/>
    </row>
    <row r="811">
      <c r="M811" s="137"/>
      <c r="N811" s="137"/>
      <c r="Q811" s="137"/>
      <c r="R811" s="137"/>
      <c r="S811" s="137"/>
    </row>
    <row r="812">
      <c r="M812" s="137"/>
      <c r="N812" s="137"/>
      <c r="Q812" s="137"/>
      <c r="R812" s="137"/>
      <c r="S812" s="137"/>
    </row>
    <row r="813">
      <c r="M813" s="137"/>
      <c r="N813" s="137"/>
      <c r="Q813" s="137"/>
      <c r="R813" s="137"/>
      <c r="S813" s="137"/>
    </row>
    <row r="814">
      <c r="M814" s="137"/>
      <c r="N814" s="137"/>
      <c r="Q814" s="137"/>
      <c r="R814" s="137"/>
      <c r="S814" s="137"/>
    </row>
    <row r="815">
      <c r="M815" s="137"/>
      <c r="N815" s="137"/>
      <c r="Q815" s="137"/>
      <c r="R815" s="137"/>
      <c r="S815" s="137"/>
    </row>
    <row r="816">
      <c r="M816" s="137"/>
      <c r="N816" s="137"/>
      <c r="Q816" s="137"/>
      <c r="R816" s="137"/>
      <c r="S816" s="137"/>
    </row>
    <row r="817">
      <c r="M817" s="137"/>
      <c r="N817" s="137"/>
      <c r="Q817" s="137"/>
      <c r="R817" s="137"/>
      <c r="S817" s="137"/>
    </row>
    <row r="818">
      <c r="M818" s="137"/>
      <c r="N818" s="137"/>
      <c r="Q818" s="137"/>
      <c r="R818" s="137"/>
      <c r="S818" s="137"/>
    </row>
    <row r="819">
      <c r="M819" s="137"/>
      <c r="N819" s="137"/>
      <c r="Q819" s="137"/>
      <c r="R819" s="137"/>
      <c r="S819" s="137"/>
    </row>
    <row r="820">
      <c r="M820" s="137"/>
      <c r="N820" s="137"/>
      <c r="Q820" s="137"/>
      <c r="R820" s="137"/>
      <c r="S820" s="137"/>
    </row>
    <row r="821">
      <c r="M821" s="137"/>
      <c r="N821" s="137"/>
      <c r="Q821" s="137"/>
      <c r="R821" s="137"/>
      <c r="S821" s="137"/>
    </row>
    <row r="822">
      <c r="M822" s="137"/>
      <c r="N822" s="137"/>
      <c r="Q822" s="137"/>
      <c r="R822" s="137"/>
      <c r="S822" s="137"/>
    </row>
    <row r="823">
      <c r="M823" s="137"/>
      <c r="N823" s="137"/>
      <c r="Q823" s="137"/>
      <c r="R823" s="137"/>
      <c r="S823" s="137"/>
    </row>
    <row r="824">
      <c r="M824" s="137"/>
      <c r="N824" s="137"/>
      <c r="Q824" s="137"/>
      <c r="R824" s="137"/>
      <c r="S824" s="137"/>
    </row>
    <row r="825">
      <c r="M825" s="137"/>
      <c r="N825" s="137"/>
      <c r="Q825" s="137"/>
      <c r="R825" s="137"/>
      <c r="S825" s="137"/>
    </row>
    <row r="826">
      <c r="M826" s="137"/>
      <c r="N826" s="137"/>
      <c r="Q826" s="137"/>
      <c r="R826" s="137"/>
      <c r="S826" s="137"/>
    </row>
    <row r="827">
      <c r="M827" s="137"/>
      <c r="N827" s="137"/>
      <c r="Q827" s="137"/>
      <c r="R827" s="137"/>
      <c r="S827" s="137"/>
    </row>
    <row r="828">
      <c r="M828" s="137"/>
      <c r="N828" s="137"/>
      <c r="Q828" s="137"/>
      <c r="R828" s="137"/>
      <c r="S828" s="137"/>
    </row>
    <row r="829">
      <c r="M829" s="137"/>
      <c r="N829" s="137"/>
      <c r="Q829" s="137"/>
      <c r="R829" s="137"/>
      <c r="S829" s="137"/>
    </row>
    <row r="830">
      <c r="M830" s="137"/>
      <c r="N830" s="137"/>
      <c r="Q830" s="137"/>
      <c r="R830" s="137"/>
      <c r="S830" s="137"/>
    </row>
    <row r="831">
      <c r="M831" s="137"/>
      <c r="N831" s="137"/>
      <c r="Q831" s="137"/>
      <c r="R831" s="137"/>
      <c r="S831" s="137"/>
    </row>
    <row r="832">
      <c r="M832" s="137"/>
      <c r="N832" s="137"/>
      <c r="Q832" s="137"/>
      <c r="R832" s="137"/>
      <c r="S832" s="137"/>
    </row>
    <row r="833">
      <c r="M833" s="137"/>
      <c r="N833" s="137"/>
      <c r="Q833" s="137"/>
      <c r="R833" s="137"/>
      <c r="S833" s="137"/>
    </row>
    <row r="834">
      <c r="M834" s="137"/>
      <c r="N834" s="137"/>
      <c r="Q834" s="137"/>
      <c r="R834" s="137"/>
      <c r="S834" s="137"/>
    </row>
    <row r="835">
      <c r="M835" s="137"/>
      <c r="N835" s="137"/>
      <c r="Q835" s="137"/>
      <c r="R835" s="137"/>
      <c r="S835" s="137"/>
    </row>
    <row r="836">
      <c r="M836" s="137"/>
      <c r="N836" s="137"/>
      <c r="Q836" s="137"/>
      <c r="R836" s="137"/>
      <c r="S836" s="137"/>
    </row>
    <row r="837">
      <c r="M837" s="137"/>
      <c r="N837" s="137"/>
      <c r="Q837" s="137"/>
      <c r="R837" s="137"/>
      <c r="S837" s="137"/>
    </row>
    <row r="838">
      <c r="M838" s="137"/>
      <c r="N838" s="137"/>
      <c r="Q838" s="137"/>
      <c r="R838" s="137"/>
      <c r="S838" s="137"/>
    </row>
    <row r="839">
      <c r="M839" s="137"/>
      <c r="N839" s="137"/>
      <c r="Q839" s="137"/>
      <c r="R839" s="137"/>
      <c r="S839" s="137"/>
    </row>
    <row r="840">
      <c r="M840" s="137"/>
      <c r="N840" s="137"/>
      <c r="Q840" s="137"/>
      <c r="R840" s="137"/>
      <c r="S840" s="137"/>
    </row>
    <row r="841">
      <c r="M841" s="137"/>
      <c r="N841" s="137"/>
      <c r="Q841" s="137"/>
      <c r="R841" s="137"/>
      <c r="S841" s="137"/>
    </row>
    <row r="842">
      <c r="M842" s="137"/>
      <c r="N842" s="137"/>
      <c r="Q842" s="137"/>
      <c r="R842" s="137"/>
      <c r="S842" s="137"/>
    </row>
    <row r="843">
      <c r="M843" s="137"/>
      <c r="N843" s="137"/>
      <c r="Q843" s="137"/>
      <c r="R843" s="137"/>
      <c r="S843" s="137"/>
    </row>
    <row r="844">
      <c r="M844" s="137"/>
      <c r="N844" s="137"/>
      <c r="Q844" s="137"/>
      <c r="R844" s="137"/>
      <c r="S844" s="137"/>
    </row>
    <row r="845">
      <c r="M845" s="137"/>
      <c r="N845" s="137"/>
      <c r="Q845" s="137"/>
      <c r="R845" s="137"/>
      <c r="S845" s="137"/>
    </row>
    <row r="846">
      <c r="M846" s="137"/>
      <c r="N846" s="137"/>
      <c r="Q846" s="137"/>
      <c r="R846" s="137"/>
      <c r="S846" s="137"/>
    </row>
    <row r="847">
      <c r="M847" s="137"/>
      <c r="N847" s="137"/>
      <c r="Q847" s="137"/>
      <c r="R847" s="137"/>
      <c r="S847" s="137"/>
    </row>
    <row r="848">
      <c r="M848" s="137"/>
      <c r="N848" s="137"/>
      <c r="Q848" s="137"/>
      <c r="R848" s="137"/>
      <c r="S848" s="137"/>
    </row>
    <row r="849">
      <c r="M849" s="137"/>
      <c r="N849" s="137"/>
      <c r="Q849" s="137"/>
      <c r="R849" s="137"/>
      <c r="S849" s="137"/>
    </row>
    <row r="850">
      <c r="M850" s="137"/>
      <c r="N850" s="137"/>
      <c r="Q850" s="137"/>
      <c r="R850" s="137"/>
      <c r="S850" s="137"/>
    </row>
    <row r="851">
      <c r="M851" s="137"/>
      <c r="N851" s="137"/>
      <c r="Q851" s="137"/>
      <c r="R851" s="137"/>
      <c r="S851" s="137"/>
    </row>
    <row r="852">
      <c r="M852" s="137"/>
      <c r="N852" s="137"/>
      <c r="Q852" s="137"/>
      <c r="R852" s="137"/>
      <c r="S852" s="137"/>
    </row>
    <row r="853">
      <c r="M853" s="137"/>
      <c r="N853" s="137"/>
      <c r="Q853" s="137"/>
      <c r="R853" s="137"/>
      <c r="S853" s="137"/>
    </row>
    <row r="854">
      <c r="M854" s="137"/>
      <c r="N854" s="137"/>
      <c r="Q854" s="137"/>
      <c r="R854" s="137"/>
      <c r="S854" s="137"/>
    </row>
    <row r="855">
      <c r="M855" s="137"/>
      <c r="N855" s="137"/>
      <c r="Q855" s="137"/>
      <c r="R855" s="137"/>
      <c r="S855" s="137"/>
    </row>
    <row r="856">
      <c r="M856" s="137"/>
      <c r="N856" s="137"/>
      <c r="Q856" s="137"/>
      <c r="R856" s="137"/>
      <c r="S856" s="137"/>
    </row>
    <row r="857">
      <c r="M857" s="137"/>
      <c r="N857" s="137"/>
      <c r="Q857" s="137"/>
      <c r="R857" s="137"/>
      <c r="S857" s="137"/>
    </row>
    <row r="858">
      <c r="M858" s="137"/>
      <c r="N858" s="137"/>
      <c r="Q858" s="137"/>
      <c r="R858" s="137"/>
      <c r="S858" s="137"/>
    </row>
    <row r="859">
      <c r="M859" s="137"/>
      <c r="N859" s="137"/>
      <c r="Q859" s="137"/>
      <c r="R859" s="137"/>
      <c r="S859" s="137"/>
    </row>
    <row r="860">
      <c r="M860" s="137"/>
      <c r="N860" s="137"/>
      <c r="Q860" s="137"/>
      <c r="R860" s="137"/>
      <c r="S860" s="137"/>
    </row>
    <row r="861">
      <c r="M861" s="137"/>
      <c r="N861" s="137"/>
      <c r="Q861" s="137"/>
      <c r="R861" s="137"/>
      <c r="S861" s="137"/>
    </row>
    <row r="862">
      <c r="M862" s="137"/>
      <c r="N862" s="137"/>
      <c r="Q862" s="137"/>
      <c r="R862" s="137"/>
      <c r="S862" s="137"/>
    </row>
    <row r="863">
      <c r="M863" s="137"/>
      <c r="N863" s="137"/>
      <c r="Q863" s="137"/>
      <c r="R863" s="137"/>
      <c r="S863" s="137"/>
    </row>
    <row r="864">
      <c r="M864" s="137"/>
      <c r="N864" s="137"/>
      <c r="Q864" s="137"/>
      <c r="R864" s="137"/>
      <c r="S864" s="137"/>
    </row>
    <row r="865">
      <c r="M865" s="137"/>
      <c r="N865" s="137"/>
      <c r="Q865" s="137"/>
      <c r="R865" s="137"/>
      <c r="S865" s="137"/>
    </row>
    <row r="866">
      <c r="M866" s="137"/>
      <c r="N866" s="137"/>
      <c r="Q866" s="137"/>
      <c r="R866" s="137"/>
      <c r="S866" s="137"/>
    </row>
    <row r="867">
      <c r="M867" s="137"/>
      <c r="N867" s="137"/>
      <c r="Q867" s="137"/>
      <c r="R867" s="137"/>
      <c r="S867" s="137"/>
    </row>
    <row r="868">
      <c r="M868" s="137"/>
      <c r="N868" s="137"/>
      <c r="Q868" s="137"/>
      <c r="R868" s="137"/>
      <c r="S868" s="137"/>
    </row>
    <row r="869">
      <c r="M869" s="137"/>
      <c r="N869" s="137"/>
      <c r="Q869" s="137"/>
      <c r="R869" s="137"/>
      <c r="S869" s="137"/>
    </row>
    <row r="870">
      <c r="M870" s="137"/>
      <c r="N870" s="137"/>
      <c r="Q870" s="137"/>
      <c r="R870" s="137"/>
      <c r="S870" s="137"/>
    </row>
    <row r="871">
      <c r="M871" s="137"/>
      <c r="N871" s="137"/>
      <c r="Q871" s="137"/>
      <c r="R871" s="137"/>
      <c r="S871" s="137"/>
    </row>
    <row r="872">
      <c r="M872" s="137"/>
      <c r="N872" s="137"/>
      <c r="Q872" s="137"/>
      <c r="R872" s="137"/>
      <c r="S872" s="137"/>
    </row>
    <row r="873">
      <c r="M873" s="137"/>
      <c r="N873" s="137"/>
      <c r="Q873" s="137"/>
      <c r="R873" s="137"/>
      <c r="S873" s="137"/>
    </row>
    <row r="874">
      <c r="M874" s="137"/>
      <c r="N874" s="137"/>
      <c r="Q874" s="137"/>
      <c r="R874" s="137"/>
      <c r="S874" s="137"/>
    </row>
    <row r="875">
      <c r="M875" s="137"/>
      <c r="N875" s="137"/>
      <c r="Q875" s="137"/>
      <c r="R875" s="137"/>
      <c r="S875" s="137"/>
    </row>
    <row r="876">
      <c r="M876" s="137"/>
      <c r="N876" s="137"/>
      <c r="Q876" s="137"/>
      <c r="R876" s="137"/>
      <c r="S876" s="137"/>
    </row>
    <row r="877">
      <c r="M877" s="137"/>
      <c r="N877" s="137"/>
      <c r="Q877" s="137"/>
      <c r="R877" s="137"/>
      <c r="S877" s="137"/>
    </row>
    <row r="878">
      <c r="M878" s="137"/>
      <c r="N878" s="137"/>
      <c r="Q878" s="137"/>
      <c r="R878" s="137"/>
      <c r="S878" s="137"/>
    </row>
    <row r="879">
      <c r="M879" s="137"/>
      <c r="N879" s="137"/>
      <c r="Q879" s="137"/>
      <c r="R879" s="137"/>
      <c r="S879" s="137"/>
    </row>
    <row r="880">
      <c r="M880" s="137"/>
      <c r="N880" s="137"/>
      <c r="Q880" s="137"/>
      <c r="R880" s="137"/>
      <c r="S880" s="137"/>
    </row>
    <row r="881">
      <c r="M881" s="137"/>
      <c r="N881" s="137"/>
      <c r="Q881" s="137"/>
      <c r="R881" s="137"/>
      <c r="S881" s="137"/>
    </row>
    <row r="882">
      <c r="M882" s="137"/>
      <c r="N882" s="137"/>
      <c r="Q882" s="137"/>
      <c r="R882" s="137"/>
      <c r="S882" s="137"/>
    </row>
    <row r="883">
      <c r="M883" s="137"/>
      <c r="N883" s="137"/>
      <c r="Q883" s="137"/>
      <c r="R883" s="137"/>
      <c r="S883" s="137"/>
    </row>
    <row r="884">
      <c r="M884" s="137"/>
      <c r="N884" s="137"/>
      <c r="Q884" s="137"/>
      <c r="R884" s="137"/>
      <c r="S884" s="137"/>
    </row>
    <row r="885">
      <c r="M885" s="137"/>
      <c r="N885" s="137"/>
      <c r="Q885" s="137"/>
      <c r="R885" s="137"/>
      <c r="S885" s="137"/>
    </row>
    <row r="886">
      <c r="M886" s="137"/>
      <c r="N886" s="137"/>
      <c r="Q886" s="137"/>
      <c r="R886" s="137"/>
      <c r="S886" s="137"/>
    </row>
    <row r="887">
      <c r="M887" s="137"/>
      <c r="N887" s="137"/>
      <c r="Q887" s="137"/>
      <c r="R887" s="137"/>
      <c r="S887" s="137"/>
    </row>
    <row r="888">
      <c r="M888" s="137"/>
      <c r="N888" s="137"/>
      <c r="Q888" s="137"/>
      <c r="R888" s="137"/>
      <c r="S888" s="137"/>
    </row>
    <row r="889">
      <c r="M889" s="137"/>
      <c r="N889" s="137"/>
      <c r="Q889" s="137"/>
      <c r="R889" s="137"/>
      <c r="S889" s="137"/>
    </row>
    <row r="890">
      <c r="M890" s="137"/>
      <c r="N890" s="137"/>
      <c r="Q890" s="137"/>
      <c r="R890" s="137"/>
      <c r="S890" s="137"/>
    </row>
    <row r="891">
      <c r="M891" s="137"/>
      <c r="N891" s="137"/>
      <c r="Q891" s="137"/>
      <c r="R891" s="137"/>
      <c r="S891" s="137"/>
    </row>
    <row r="892">
      <c r="M892" s="137"/>
      <c r="N892" s="137"/>
      <c r="Q892" s="137"/>
      <c r="R892" s="137"/>
      <c r="S892" s="137"/>
    </row>
    <row r="893">
      <c r="M893" s="137"/>
      <c r="N893" s="137"/>
      <c r="Q893" s="137"/>
      <c r="R893" s="137"/>
      <c r="S893" s="137"/>
    </row>
    <row r="894">
      <c r="M894" s="137"/>
      <c r="N894" s="137"/>
      <c r="Q894" s="137"/>
      <c r="R894" s="137"/>
      <c r="S894" s="137"/>
    </row>
    <row r="895">
      <c r="M895" s="137"/>
      <c r="N895" s="137"/>
      <c r="Q895" s="137"/>
      <c r="R895" s="137"/>
      <c r="S895" s="137"/>
    </row>
    <row r="896">
      <c r="M896" s="137"/>
      <c r="N896" s="137"/>
      <c r="Q896" s="137"/>
      <c r="R896" s="137"/>
      <c r="S896" s="137"/>
    </row>
    <row r="897">
      <c r="M897" s="137"/>
      <c r="N897" s="137"/>
      <c r="Q897" s="137"/>
      <c r="R897" s="137"/>
      <c r="S897" s="137"/>
    </row>
    <row r="898">
      <c r="M898" s="137"/>
      <c r="N898" s="137"/>
      <c r="Q898" s="137"/>
      <c r="R898" s="137"/>
      <c r="S898" s="137"/>
    </row>
    <row r="899">
      <c r="M899" s="137"/>
      <c r="N899" s="137"/>
      <c r="Q899" s="137"/>
      <c r="R899" s="137"/>
      <c r="S899" s="137"/>
    </row>
    <row r="900">
      <c r="M900" s="137"/>
      <c r="N900" s="137"/>
      <c r="Q900" s="137"/>
      <c r="R900" s="137"/>
      <c r="S900" s="137"/>
    </row>
    <row r="901">
      <c r="M901" s="137"/>
      <c r="N901" s="137"/>
      <c r="Q901" s="137"/>
      <c r="R901" s="137"/>
      <c r="S901" s="137"/>
    </row>
    <row r="902">
      <c r="M902" s="137"/>
      <c r="N902" s="137"/>
      <c r="Q902" s="137"/>
      <c r="R902" s="137"/>
      <c r="S902" s="137"/>
    </row>
    <row r="903">
      <c r="M903" s="137"/>
      <c r="N903" s="137"/>
      <c r="Q903" s="137"/>
      <c r="R903" s="137"/>
      <c r="S903" s="137"/>
    </row>
    <row r="904">
      <c r="M904" s="137"/>
      <c r="N904" s="137"/>
      <c r="Q904" s="137"/>
      <c r="R904" s="137"/>
      <c r="S904" s="137"/>
    </row>
    <row r="905">
      <c r="M905" s="137"/>
      <c r="N905" s="137"/>
      <c r="Q905" s="137"/>
      <c r="R905" s="137"/>
      <c r="S905" s="137"/>
    </row>
    <row r="906">
      <c r="M906" s="137"/>
      <c r="N906" s="137"/>
      <c r="Q906" s="137"/>
      <c r="R906" s="137"/>
      <c r="S906" s="137"/>
    </row>
    <row r="907">
      <c r="M907" s="137"/>
      <c r="N907" s="137"/>
      <c r="Q907" s="137"/>
      <c r="R907" s="137"/>
      <c r="S907" s="137"/>
    </row>
    <row r="908">
      <c r="M908" s="137"/>
      <c r="N908" s="137"/>
      <c r="Q908" s="137"/>
      <c r="R908" s="137"/>
      <c r="S908" s="137"/>
    </row>
    <row r="909">
      <c r="M909" s="137"/>
      <c r="N909" s="137"/>
      <c r="Q909" s="137"/>
      <c r="R909" s="137"/>
      <c r="S909" s="137"/>
    </row>
    <row r="910">
      <c r="M910" s="137"/>
      <c r="N910" s="137"/>
      <c r="Q910" s="137"/>
      <c r="R910" s="137"/>
      <c r="S910" s="137"/>
    </row>
    <row r="911">
      <c r="M911" s="137"/>
      <c r="N911" s="137"/>
      <c r="Q911" s="137"/>
      <c r="R911" s="137"/>
      <c r="S911" s="137"/>
    </row>
    <row r="912">
      <c r="M912" s="137"/>
      <c r="N912" s="137"/>
      <c r="Q912" s="137"/>
      <c r="R912" s="137"/>
      <c r="S912" s="137"/>
    </row>
    <row r="913">
      <c r="M913" s="137"/>
      <c r="N913" s="137"/>
      <c r="Q913" s="137"/>
      <c r="R913" s="137"/>
      <c r="S913" s="137"/>
    </row>
    <row r="914">
      <c r="M914" s="137"/>
      <c r="N914" s="137"/>
      <c r="Q914" s="137"/>
      <c r="R914" s="137"/>
      <c r="S914" s="137"/>
    </row>
    <row r="915">
      <c r="M915" s="137"/>
      <c r="N915" s="137"/>
      <c r="Q915" s="137"/>
      <c r="R915" s="137"/>
      <c r="S915" s="137"/>
    </row>
    <row r="916">
      <c r="M916" s="137"/>
      <c r="N916" s="137"/>
      <c r="Q916" s="137"/>
      <c r="R916" s="137"/>
      <c r="S916" s="137"/>
    </row>
    <row r="917">
      <c r="M917" s="137"/>
      <c r="N917" s="137"/>
      <c r="Q917" s="137"/>
      <c r="R917" s="137"/>
      <c r="S917" s="137"/>
    </row>
    <row r="918">
      <c r="M918" s="137"/>
      <c r="N918" s="137"/>
      <c r="Q918" s="137"/>
      <c r="R918" s="137"/>
      <c r="S918" s="137"/>
    </row>
    <row r="919">
      <c r="M919" s="137"/>
      <c r="N919" s="137"/>
      <c r="Q919" s="137"/>
      <c r="R919" s="137"/>
      <c r="S919" s="137"/>
    </row>
    <row r="920">
      <c r="M920" s="137"/>
      <c r="N920" s="137"/>
      <c r="Q920" s="137"/>
      <c r="R920" s="137"/>
      <c r="S920" s="137"/>
    </row>
    <row r="921">
      <c r="M921" s="137"/>
      <c r="N921" s="137"/>
      <c r="Q921" s="137"/>
      <c r="R921" s="137"/>
      <c r="S921" s="137"/>
    </row>
    <row r="922">
      <c r="M922" s="137"/>
      <c r="N922" s="137"/>
      <c r="Q922" s="137"/>
      <c r="R922" s="137"/>
      <c r="S922" s="137"/>
    </row>
    <row r="923">
      <c r="M923" s="137"/>
      <c r="N923" s="137"/>
      <c r="Q923" s="137"/>
      <c r="R923" s="137"/>
      <c r="S923" s="137"/>
    </row>
    <row r="924">
      <c r="M924" s="137"/>
      <c r="N924" s="137"/>
      <c r="Q924" s="137"/>
      <c r="R924" s="137"/>
      <c r="S924" s="137"/>
    </row>
    <row r="925">
      <c r="M925" s="137"/>
      <c r="N925" s="137"/>
      <c r="Q925" s="137"/>
      <c r="R925" s="137"/>
      <c r="S925" s="137"/>
    </row>
    <row r="926">
      <c r="M926" s="137"/>
      <c r="N926" s="137"/>
      <c r="Q926" s="137"/>
      <c r="R926" s="137"/>
      <c r="S926" s="137"/>
    </row>
    <row r="927">
      <c r="M927" s="137"/>
      <c r="N927" s="137"/>
      <c r="Q927" s="137"/>
      <c r="R927" s="137"/>
      <c r="S927" s="137"/>
    </row>
    <row r="928">
      <c r="M928" s="137"/>
      <c r="N928" s="137"/>
      <c r="Q928" s="137"/>
      <c r="R928" s="137"/>
      <c r="S928" s="137"/>
    </row>
    <row r="929">
      <c r="M929" s="137"/>
      <c r="N929" s="137"/>
      <c r="Q929" s="137"/>
      <c r="R929" s="137"/>
      <c r="S929" s="137"/>
    </row>
    <row r="930">
      <c r="M930" s="137"/>
      <c r="N930" s="137"/>
      <c r="Q930" s="137"/>
      <c r="R930" s="137"/>
      <c r="S930" s="137"/>
    </row>
    <row r="931">
      <c r="M931" s="137"/>
      <c r="N931" s="137"/>
      <c r="Q931" s="137"/>
      <c r="R931" s="137"/>
      <c r="S931" s="137"/>
    </row>
    <row r="932">
      <c r="M932" s="137"/>
      <c r="N932" s="137"/>
      <c r="Q932" s="137"/>
      <c r="R932" s="137"/>
      <c r="S932" s="137"/>
    </row>
    <row r="933">
      <c r="M933" s="137"/>
      <c r="N933" s="137"/>
      <c r="Q933" s="137"/>
      <c r="R933" s="137"/>
      <c r="S933" s="137"/>
    </row>
    <row r="934">
      <c r="M934" s="137"/>
      <c r="N934" s="137"/>
      <c r="Q934" s="137"/>
      <c r="R934" s="137"/>
      <c r="S934" s="137"/>
    </row>
    <row r="935">
      <c r="M935" s="137"/>
      <c r="N935" s="137"/>
      <c r="Q935" s="137"/>
      <c r="R935" s="137"/>
      <c r="S935" s="137"/>
    </row>
    <row r="936">
      <c r="M936" s="137"/>
      <c r="N936" s="137"/>
      <c r="Q936" s="137"/>
      <c r="R936" s="137"/>
      <c r="S936" s="137"/>
    </row>
    <row r="937">
      <c r="M937" s="137"/>
      <c r="N937" s="137"/>
      <c r="Q937" s="137"/>
      <c r="R937" s="137"/>
      <c r="S937" s="137"/>
    </row>
    <row r="938">
      <c r="M938" s="137"/>
      <c r="N938" s="137"/>
      <c r="Q938" s="137"/>
      <c r="R938" s="137"/>
      <c r="S938" s="137"/>
    </row>
    <row r="939">
      <c r="M939" s="137"/>
      <c r="N939" s="137"/>
      <c r="Q939" s="137"/>
      <c r="R939" s="137"/>
      <c r="S939" s="137"/>
    </row>
    <row r="940">
      <c r="M940" s="137"/>
      <c r="N940" s="137"/>
      <c r="Q940" s="137"/>
      <c r="R940" s="137"/>
      <c r="S940" s="137"/>
    </row>
    <row r="941">
      <c r="M941" s="137"/>
      <c r="N941" s="137"/>
      <c r="Q941" s="137"/>
      <c r="R941" s="137"/>
      <c r="S941" s="137"/>
    </row>
    <row r="942">
      <c r="M942" s="137"/>
      <c r="N942" s="137"/>
      <c r="Q942" s="137"/>
      <c r="R942" s="137"/>
      <c r="S942" s="137"/>
    </row>
    <row r="943">
      <c r="M943" s="137"/>
      <c r="N943" s="137"/>
      <c r="Q943" s="137"/>
      <c r="R943" s="137"/>
      <c r="S943" s="137"/>
    </row>
    <row r="944">
      <c r="M944" s="137"/>
      <c r="N944" s="137"/>
      <c r="Q944" s="137"/>
      <c r="R944" s="137"/>
      <c r="S944" s="137"/>
    </row>
    <row r="945">
      <c r="M945" s="137"/>
      <c r="N945" s="137"/>
      <c r="Q945" s="137"/>
      <c r="R945" s="137"/>
      <c r="S945" s="137"/>
    </row>
    <row r="946">
      <c r="M946" s="137"/>
      <c r="N946" s="137"/>
      <c r="Q946" s="137"/>
      <c r="R946" s="137"/>
      <c r="S946" s="137"/>
    </row>
    <row r="947">
      <c r="M947" s="137"/>
      <c r="N947" s="137"/>
      <c r="Q947" s="137"/>
      <c r="R947" s="137"/>
      <c r="S947" s="137"/>
    </row>
    <row r="948">
      <c r="M948" s="137"/>
      <c r="N948" s="137"/>
      <c r="Q948" s="137"/>
      <c r="R948" s="137"/>
      <c r="S948" s="137"/>
    </row>
    <row r="949">
      <c r="M949" s="137"/>
      <c r="N949" s="137"/>
      <c r="Q949" s="137"/>
      <c r="R949" s="137"/>
      <c r="S949" s="137"/>
    </row>
    <row r="950">
      <c r="M950" s="137"/>
      <c r="N950" s="137"/>
      <c r="Q950" s="137"/>
      <c r="R950" s="137"/>
      <c r="S950" s="137"/>
    </row>
    <row r="951">
      <c r="M951" s="137"/>
      <c r="N951" s="137"/>
      <c r="Q951" s="137"/>
      <c r="R951" s="137"/>
      <c r="S951" s="137"/>
    </row>
    <row r="952">
      <c r="M952" s="137"/>
      <c r="N952" s="137"/>
      <c r="Q952" s="137"/>
      <c r="R952" s="137"/>
      <c r="S952" s="137"/>
    </row>
    <row r="953">
      <c r="M953" s="137"/>
      <c r="N953" s="137"/>
      <c r="Q953" s="137"/>
      <c r="R953" s="137"/>
      <c r="S953" s="137"/>
    </row>
    <row r="954">
      <c r="M954" s="137"/>
      <c r="N954" s="137"/>
      <c r="Q954" s="137"/>
      <c r="R954" s="137"/>
      <c r="S954" s="137"/>
    </row>
    <row r="955">
      <c r="M955" s="137"/>
      <c r="N955" s="137"/>
      <c r="Q955" s="137"/>
      <c r="R955" s="137"/>
      <c r="S955" s="137"/>
    </row>
    <row r="956">
      <c r="M956" s="137"/>
      <c r="N956" s="137"/>
      <c r="Q956" s="137"/>
      <c r="R956" s="137"/>
      <c r="S956" s="137"/>
    </row>
    <row r="957">
      <c r="M957" s="137"/>
      <c r="N957" s="137"/>
      <c r="Q957" s="137"/>
      <c r="R957" s="137"/>
      <c r="S957" s="137"/>
    </row>
    <row r="958">
      <c r="M958" s="137"/>
      <c r="N958" s="137"/>
      <c r="Q958" s="137"/>
      <c r="R958" s="137"/>
      <c r="S958" s="137"/>
    </row>
    <row r="959">
      <c r="M959" s="137"/>
      <c r="N959" s="137"/>
      <c r="Q959" s="137"/>
      <c r="R959" s="137"/>
      <c r="S959" s="137"/>
    </row>
    <row r="960">
      <c r="M960" s="137"/>
      <c r="N960" s="137"/>
      <c r="Q960" s="137"/>
      <c r="R960" s="137"/>
      <c r="S960" s="137"/>
    </row>
    <row r="961">
      <c r="M961" s="137"/>
      <c r="N961" s="137"/>
      <c r="Q961" s="137"/>
      <c r="R961" s="137"/>
      <c r="S961" s="137"/>
    </row>
    <row r="962">
      <c r="M962" s="137"/>
      <c r="N962" s="137"/>
      <c r="Q962" s="137"/>
      <c r="R962" s="137"/>
      <c r="S962" s="137"/>
    </row>
    <row r="963">
      <c r="M963" s="137"/>
      <c r="N963" s="137"/>
      <c r="Q963" s="137"/>
      <c r="R963" s="137"/>
      <c r="S963" s="137"/>
    </row>
    <row r="964">
      <c r="M964" s="137"/>
      <c r="N964" s="137"/>
      <c r="Q964" s="137"/>
      <c r="R964" s="137"/>
      <c r="S964" s="137"/>
    </row>
    <row r="965">
      <c r="M965" s="137"/>
      <c r="N965" s="137"/>
      <c r="Q965" s="137"/>
      <c r="R965" s="137"/>
      <c r="S965" s="137"/>
    </row>
    <row r="966">
      <c r="M966" s="137"/>
      <c r="N966" s="137"/>
      <c r="Q966" s="137"/>
      <c r="R966" s="137"/>
      <c r="S966" s="137"/>
    </row>
    <row r="967">
      <c r="M967" s="137"/>
      <c r="N967" s="137"/>
      <c r="Q967" s="137"/>
      <c r="R967" s="137"/>
      <c r="S967" s="137"/>
    </row>
    <row r="968">
      <c r="M968" s="137"/>
      <c r="N968" s="137"/>
      <c r="Q968" s="137"/>
      <c r="R968" s="137"/>
      <c r="S968" s="137"/>
    </row>
    <row r="969">
      <c r="M969" s="137"/>
      <c r="N969" s="137"/>
      <c r="Q969" s="137"/>
      <c r="R969" s="137"/>
      <c r="S969" s="137"/>
    </row>
    <row r="970">
      <c r="M970" s="137"/>
      <c r="N970" s="137"/>
      <c r="Q970" s="137"/>
      <c r="R970" s="137"/>
      <c r="S970" s="137"/>
    </row>
    <row r="971">
      <c r="M971" s="137"/>
      <c r="N971" s="137"/>
      <c r="Q971" s="137"/>
      <c r="R971" s="137"/>
      <c r="S971" s="137"/>
    </row>
    <row r="972">
      <c r="M972" s="137"/>
      <c r="N972" s="137"/>
      <c r="Q972" s="137"/>
      <c r="R972" s="137"/>
      <c r="S972" s="137"/>
    </row>
    <row r="973">
      <c r="M973" s="137"/>
      <c r="N973" s="137"/>
      <c r="Q973" s="137"/>
      <c r="R973" s="137"/>
      <c r="S973" s="137"/>
    </row>
    <row r="974">
      <c r="M974" s="137"/>
      <c r="N974" s="137"/>
      <c r="Q974" s="137"/>
      <c r="R974" s="137"/>
      <c r="S974" s="137"/>
    </row>
    <row r="975">
      <c r="M975" s="137"/>
      <c r="N975" s="137"/>
      <c r="Q975" s="137"/>
      <c r="R975" s="137"/>
      <c r="S975" s="137"/>
    </row>
    <row r="976">
      <c r="M976" s="137"/>
      <c r="N976" s="137"/>
      <c r="Q976" s="137"/>
      <c r="R976" s="137"/>
      <c r="S976" s="137"/>
    </row>
    <row r="977">
      <c r="M977" s="137"/>
      <c r="N977" s="137"/>
      <c r="Q977" s="137"/>
      <c r="R977" s="137"/>
      <c r="S977" s="137"/>
    </row>
    <row r="978">
      <c r="M978" s="137"/>
      <c r="N978" s="137"/>
      <c r="Q978" s="137"/>
      <c r="R978" s="137"/>
      <c r="S978" s="137"/>
    </row>
    <row r="979">
      <c r="M979" s="137"/>
      <c r="N979" s="137"/>
      <c r="Q979" s="137"/>
      <c r="R979" s="137"/>
      <c r="S979" s="137"/>
    </row>
    <row r="980">
      <c r="M980" s="137"/>
      <c r="N980" s="137"/>
      <c r="Q980" s="137"/>
      <c r="R980" s="137"/>
      <c r="S980" s="137"/>
    </row>
    <row r="981">
      <c r="M981" s="137"/>
      <c r="N981" s="137"/>
      <c r="Q981" s="137"/>
      <c r="R981" s="137"/>
      <c r="S981" s="137"/>
    </row>
    <row r="982">
      <c r="M982" s="137"/>
      <c r="N982" s="137"/>
      <c r="Q982" s="137"/>
      <c r="R982" s="137"/>
      <c r="S982" s="137"/>
    </row>
    <row r="983">
      <c r="M983" s="137"/>
      <c r="N983" s="137"/>
      <c r="Q983" s="137"/>
      <c r="R983" s="137"/>
      <c r="S983" s="137"/>
    </row>
    <row r="984">
      <c r="M984" s="137"/>
      <c r="N984" s="137"/>
      <c r="Q984" s="137"/>
      <c r="R984" s="137"/>
      <c r="S984" s="137"/>
    </row>
    <row r="985">
      <c r="M985" s="137"/>
      <c r="N985" s="137"/>
      <c r="Q985" s="137"/>
      <c r="R985" s="137"/>
      <c r="S985" s="137"/>
    </row>
    <row r="986">
      <c r="M986" s="137"/>
      <c r="N986" s="137"/>
      <c r="Q986" s="137"/>
      <c r="R986" s="137"/>
      <c r="S986" s="137"/>
    </row>
    <row r="987">
      <c r="M987" s="137"/>
      <c r="N987" s="137"/>
      <c r="Q987" s="137"/>
      <c r="R987" s="137"/>
      <c r="S987" s="137"/>
    </row>
    <row r="988">
      <c r="M988" s="137"/>
      <c r="N988" s="137"/>
      <c r="Q988" s="137"/>
      <c r="R988" s="137"/>
      <c r="S988" s="137"/>
    </row>
    <row r="989">
      <c r="M989" s="137"/>
      <c r="N989" s="137"/>
      <c r="Q989" s="137"/>
      <c r="R989" s="137"/>
      <c r="S989" s="137"/>
    </row>
  </sheetData>
  <drawing r:id="rId1"/>
</worksheet>
</file>